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B CONECTOR" sheetId="1" r:id="rId5"/>
    <sheet state="visible" name="FICHA TÉCNICA" sheetId="2" r:id="rId6"/>
    <sheet state="visible" name="FICHA TOUR" sheetId="3" r:id="rId7"/>
    <sheet state="visible" name="MODELOS DE COSTOS" sheetId="4" r:id="rId8"/>
    <sheet state="visible" name="VIABILIDAD FINANCIERA" sheetId="5" r:id="rId9"/>
  </sheets>
  <definedNames/>
  <calcPr/>
</workbook>
</file>

<file path=xl/sharedStrings.xml><?xml version="1.0" encoding="utf-8"?>
<sst xmlns="http://schemas.openxmlformats.org/spreadsheetml/2006/main" count="368" uniqueCount="334">
  <si>
    <t>FICHA TÉCNICA DE PRODUCTO TURÍSTICO: [NAT-004] — Paute: Dinosaurios, Naturaleza y Sabores</t>
  </si>
  <si>
    <t>ANÁLISIS DE VIABILIDAD FINANCIERA Y FIJACIÓN DE PRECIOS — CÓNDOR EXPEDITIONS</t>
  </si>
  <si>
    <t>6.1 MODELOS DE COSTOS POR OCUPACIÓN</t>
  </si>
  <si>
    <t>1. IDENTIFICACIÓN Y GENERALIDADES</t>
  </si>
  <si>
    <t>Ocupación \ Costos PAX ($)</t>
  </si>
  <si>
    <t>Código</t>
  </si>
  <si>
    <t>NAT-006</t>
  </si>
  <si>
    <t>PLANTILLA MAESTRA DE CREACIÓN DE TOUR — CÓNDOR EXPEDITIONS</t>
  </si>
  <si>
    <t>Dificultad</t>
  </si>
  <si>
    <t>Código / Nombre:</t>
  </si>
  <si>
    <t>Rubro de Costo</t>
  </si>
  <si>
    <t>Observación / Detalle</t>
  </si>
  <si>
    <t>Versión / Fecha:</t>
  </si>
  <si>
    <t>v2.7 | [DD/MM/AAAA]</t>
  </si>
  <si>
    <t>Transporte</t>
  </si>
  <si>
    <t>Área: Operaciones</t>
  </si>
  <si>
    <t>1. DATOS BÁSICOS DEL TOUR</t>
  </si>
  <si>
    <t>Código / ID del Tour</t>
  </si>
  <si>
    <t>Intermedio</t>
  </si>
  <si>
    <t>Duración</t>
  </si>
  <si>
    <t>Categoría</t>
  </si>
  <si>
    <t>4 Horas</t>
  </si>
  <si>
    <t>Nombre Comercial</t>
  </si>
  <si>
    <t>Paute: Dinosaurios, Naturaleza y Sabores</t>
  </si>
  <si>
    <t>Naturaleza, Gastronomía</t>
  </si>
  <si>
    <t>Modalidad</t>
  </si>
  <si>
    <t>Compartido o Privado</t>
  </si>
  <si>
    <t>Destino Principal</t>
  </si>
  <si>
    <t>Cantón Paute (Azuay)</t>
  </si>
  <si>
    <t>Subcategoría</t>
  </si>
  <si>
    <t>Excursión Diurna, Gastronomia Local</t>
  </si>
  <si>
    <t>Mercado Objetivo</t>
  </si>
  <si>
    <t>Familias, Fotografos, Grupos</t>
  </si>
  <si>
    <t>Puntos Clave</t>
  </si>
  <si>
    <t>Jurassic Paute, Animal Paute, Parque Lineal y Monumento La Cuchara de Palo</t>
  </si>
  <si>
    <t>2. DESCRIPCIÓN COMERCIAL</t>
  </si>
  <si>
    <t>Descripción Corta</t>
  </si>
  <si>
    <t>Aventura familiar de medio día (4 horas) desde Cuenca con salida a las 08:30 hacia el valle de Paute. Incluye Jurassic Paute, Animal Paute, el Parque Lineal y la Cuchara de Palo más grande del mundo por una tarifa de $35 USD por pasajero.</t>
  </si>
  <si>
    <t>Descripción Completa</t>
  </si>
  <si>
    <t>Excursión guiada de 4 horas diseñada para familias y visitantes de todas las edades con salida a las 08:30 desde Cuenca hacia el cantón Paute. El itinerario recorre el parque temático Jurassic Paute con dinosaurios animatrónicos, la reserva interactiva Animal Paute, el monumento y artesanías de La Cuchara de Palo (Récord Guinness) y las áreas verdes del Parque Lineal junto al río con degustación de la gastronomía típica, a una tarifa de $35 USD por persona.</t>
  </si>
  <si>
    <t>Descripción Breve</t>
  </si>
  <si>
    <t>📌 NOTA OPERATIVA Y COMERCIAL: El itinerario por horas, matriz tarifaria oficial, alcance de inclusiones/exclusiones y políticas de cancelación se encuentran centralizados y vigentes en la pestaña oficial 'FICHA TOUR'.</t>
  </si>
  <si>
    <t>3. DETALLE DE ATRACTIVOS Y GUION INTERPRETATIVO PARA GUÍAS</t>
  </si>
  <si>
    <t>N°</t>
  </si>
  <si>
    <t>Duración Estimada Tour</t>
  </si>
  <si>
    <t>Atractivo Turístico</t>
  </si>
  <si>
    <t>Combustible + peajes + chofer</t>
  </si>
  <si>
    <t>Altitud</t>
  </si>
  <si>
    <t>Enfoque Principal</t>
  </si>
  <si>
    <t>Guion Interpretativo / Dato Clave</t>
  </si>
  <si>
    <t>Recomendaciones Operativas / Servicios</t>
  </si>
  <si>
    <t>Guía especializado</t>
  </si>
  <si>
    <t>Jurassic Paute</t>
  </si>
  <si>
    <t>2.150 msnm</t>
  </si>
  <si>
    <t>Público Objetivo</t>
  </si>
  <si>
    <t>Recreación Temática y Paleontología</t>
  </si>
  <si>
    <t>Exhibición de dinosaurios animatrónicos a escala real con sonido, senderos temáticos y fósiles educativos.</t>
  </si>
  <si>
    <t>Calzado cómodo para caminata, asistencia a niños en senderos y batería cargada para fotografía.</t>
  </si>
  <si>
    <t>Animal Paute</t>
  </si>
  <si>
    <t>2.180 msnm</t>
  </si>
  <si>
    <t>Contacto con la Naturaleza y Fauna</t>
  </si>
  <si>
    <t>Espacio de interacción responsable con animales de granja y fauna, fomentando la conservación y el aprendizaje lúdico.</t>
  </si>
  <si>
    <t>Respetar normas de interacción animal, desinfección de manos en estaciones y supervisión de menores.</t>
  </si>
  <si>
    <t>Monumento La Cuchara de Palo</t>
  </si>
  <si>
    <t>2.120 msnm</t>
  </si>
  <si>
    <t>Cultura, Tradición y Récord Guinness</t>
  </si>
  <si>
    <t>Símbolo de la maestría artesanal de Paute, reconocido por el Récord Guinness como la cuchara de madera más grande del mundo.</t>
  </si>
  <si>
    <t>Parada fotográfica grupal, visita a talleres locales de madera labrada y uso de efectivo en denominaciones bajas.</t>
  </si>
  <si>
    <t>Temporada</t>
  </si>
  <si>
    <t>Parque Lineal y Gastronomía Local</t>
  </si>
  <si>
    <t>2.100 msnm</t>
  </si>
  <si>
    <t>Paisajismo Ribereño y Tradición Culinaria</t>
  </si>
  <si>
    <t>Paseo por las orillas del río Paute integrado a la degustación de platos típicos vallunos (cuy, fritada, conservas y dulces).</t>
  </si>
  <si>
    <t>Paseo llano y accesible para toda edad, disponibilidad de baterías sanitarias y tiempo para degustación.</t>
  </si>
  <si>
    <t>4. MÉTRICAS TÉCNICAS DE TERRENO Y ESFUERZO FÍSICO</t>
  </si>
  <si>
    <t>TODO EL AÑO</t>
  </si>
  <si>
    <t>Idiomas Disponibles</t>
  </si>
  <si>
    <t>Distancia Total Caminata</t>
  </si>
  <si>
    <t>1.5 - 2.5 km (recorridos temáticos)</t>
  </si>
  <si>
    <t>Desnivel Positivo (+)</t>
  </si>
  <si>
    <t>+45 m</t>
  </si>
  <si>
    <t>Desnivel Negativo (-)</t>
  </si>
  <si>
    <t>-45 m</t>
  </si>
  <si>
    <t>Altitud Mínima / Máxima</t>
  </si>
  <si>
    <t>2.100 msnm — 2.250 msnm</t>
  </si>
  <si>
    <t>Tipo de Sendero / Suelo</t>
  </si>
  <si>
    <t>Adoquín, césped, tierra compacta y pasarelas llanas</t>
  </si>
  <si>
    <t>Pendiente Máxima</t>
  </si>
  <si>
    <t>Baja / Suave (3% - 8%)</t>
  </si>
  <si>
    <t>Clima Predominante</t>
  </si>
  <si>
    <t>Templado / Cálido de valle interandino</t>
  </si>
  <si>
    <t>Rango de Temperatura</t>
  </si>
  <si>
    <t>14°C a 24°C</t>
  </si>
  <si>
    <t>Índice UV Estimado</t>
  </si>
  <si>
    <t>Moderado a Alto (6 - 9)</t>
  </si>
  <si>
    <t>Exposición Solar y Viento</t>
  </si>
  <si>
    <t>Exposición moderada a sol de valle, brisa ligera</t>
  </si>
  <si>
    <t>Nivel Exigencia Física</t>
  </si>
  <si>
    <t>Bajo / Familiar (apto para todo público y niños)</t>
  </si>
  <si>
    <t>Tiempo Efectivo Caminata</t>
  </si>
  <si>
    <t>1.5 a 2 horas fraccionadas</t>
  </si>
  <si>
    <t>Equipamiento de Terreno</t>
  </si>
  <si>
    <t>Calzado deportivo cómodo, ropa ligera para clima templado, protección solar (gorra y bloqueador), abrigo ligero para la tarde e hidratación personal.</t>
  </si>
  <si>
    <t>2. LOGÍSTICA COMPLETA DE OPERACIÓN</t>
  </si>
  <si>
    <t>5. PERFIL Y REQUISITOS DEL PERSONAL DE RUTA</t>
  </si>
  <si>
    <t>Punto de Salida</t>
  </si>
  <si>
    <t>Licencia Guía Exigida</t>
  </si>
  <si>
    <t>Parque Calderón / Hotel Ensueños</t>
  </si>
  <si>
    <t>Guia Nacional</t>
  </si>
  <si>
    <t>Lugar de Retorno</t>
  </si>
  <si>
    <t>Certificación Primeros Auxilios</t>
  </si>
  <si>
    <t>Primeros Auxilios Básicos / RCP Vigente</t>
  </si>
  <si>
    <t>Ratio Guía / Pasajeros</t>
  </si>
  <si>
    <t>1:16 pasajeros</t>
  </si>
  <si>
    <t>Idiomas del Personal</t>
  </si>
  <si>
    <t>Español</t>
  </si>
  <si>
    <t>Perfil Conductor / Chofer</t>
  </si>
  <si>
    <t>Licencia Profesional Tipo D o C</t>
  </si>
  <si>
    <t>Competencias Técnicas Clave</t>
  </si>
  <si>
    <t>Dinámica de grupos familiares, atención infantil y servicio al cliente</t>
  </si>
  <si>
    <t>Código de Conducta en Ruta</t>
  </si>
  <si>
    <t>Puntualidad estricta en traslados, asistencia a niños y adultos mayores, respeto a las normas de los parques y cordialidad en todo momento.</t>
  </si>
  <si>
    <t>6. SEGURIDAD, PRIMEROS AUXILIOS Y PROTOCOLO DE EVACUACIÓN</t>
  </si>
  <si>
    <t>Botiquín Obligatorio a Bordo</t>
  </si>
  <si>
    <t>Botiquín básico: antisépticos, gasas estériles, vendas elásticas, apósitos, analgésicos pediátricos y adultos, antihistamínicos, repelente y sales de hidratación oral.</t>
  </si>
  <si>
    <t>Días de Operación</t>
  </si>
  <si>
    <t>Viernes, Sábado y Domingo</t>
  </si>
  <si>
    <t>Duración Translado Total</t>
  </si>
  <si>
    <t>Cobertura Móvil / Celular</t>
  </si>
  <si>
    <t>Aprox. 1.5 horas (45 min por trayecto)</t>
  </si>
  <si>
    <t>Flota Requerida</t>
  </si>
  <si>
    <t>CLARO (vía principal), TIGO (vía principal), CNT (vía principal)</t>
  </si>
  <si>
    <t>Van 12-16 pax</t>
  </si>
  <si>
    <t>Telecomunicaciones de Emergencia</t>
  </si>
  <si>
    <t>Capacidad Minima Rentable</t>
  </si>
  <si>
    <t xml:space="preserve">Telefonía Celular / Red 4G LTE </t>
  </si>
  <si>
    <t>4 pasajeros (Mínimo de operación)</t>
  </si>
  <si>
    <t>Punto de Escape 1 (Km 0-25)</t>
  </si>
  <si>
    <t>Retorno Vía Rápida Cuenca - Azogues - Paute</t>
  </si>
  <si>
    <t>Centro de Salud de Apoyo</t>
  </si>
  <si>
    <t>Centro de Salud Tipo C El Cabo / Paute</t>
  </si>
  <si>
    <t>Tiempo Estimado Evacuación</t>
  </si>
  <si>
    <t>10 - 15 minutos</t>
  </si>
  <si>
    <t>Punto de Escape 2 (Casco Paute)</t>
  </si>
  <si>
    <t>Hospital Básico Cantonal de Paute</t>
  </si>
  <si>
    <t>Hospital de Referencia Mayor</t>
  </si>
  <si>
    <t>Paradas Intermedias</t>
  </si>
  <si>
    <t>Hospital Vicente Corral Moscoso (Cuenca)</t>
  </si>
  <si>
    <t>35 - 45 minutos</t>
  </si>
  <si>
    <t>Línea de Emergencia Principal</t>
  </si>
  <si>
    <t>ECU 911 | Base Central: +593 99 590 0614</t>
  </si>
  <si>
    <t>Protocolo Emergencias Médicas</t>
  </si>
  <si>
    <t>Primeros auxilios inmediatos, estabilización del paciente, notificación a ECU 911 y traslado prioritario a centro asistencial.</t>
  </si>
  <si>
    <t>Póliza de Asistencia y Seguro</t>
  </si>
  <si>
    <t>Seguro de accidentes personales y responsabilidad civil en transporte turístico vigente para todos los pasajeros registrados en el manifiesto.</t>
  </si>
  <si>
    <t>Horario de Salida</t>
  </si>
  <si>
    <t>Mañana: 08:30, Tarde: 14:00</t>
  </si>
  <si>
    <t>Responsable Operativo</t>
  </si>
  <si>
    <t>Coordinador de Operaciones / Guía Líder</t>
  </si>
  <si>
    <t>Mapa del Recorrido</t>
  </si>
  <si>
    <t>Ruta Cuenca – El Descanso – Paute (aprox. 42 km / 45 min por vía rápida E40). Circuito turístico por atractivos cantonales.</t>
  </si>
  <si>
    <t>3. ITINERARIO Y OPERACIONES DEL RECORRIDO</t>
  </si>
  <si>
    <t>Actividad</t>
  </si>
  <si>
    <t>Lugar / Parada</t>
  </si>
  <si>
    <t>Responsable</t>
  </si>
  <si>
    <t>15 min</t>
  </si>
  <si>
    <t>Encuentro de pasajeros, registro y traslado hacia Paute</t>
  </si>
  <si>
    <t>Guía / Conductor</t>
  </si>
  <si>
    <t>1 hora</t>
  </si>
  <si>
    <t>Recorrido guiado temático con réplicas de dinosaurios y fotos</t>
  </si>
  <si>
    <t>Parque Temático Jurassic Paute</t>
  </si>
  <si>
    <t>Guía Acreditado</t>
  </si>
  <si>
    <t>Interacción con especies de fauna protegida y contacto natural</t>
  </si>
  <si>
    <t>Animal Paute (Granja y Fauna)</t>
  </si>
  <si>
    <t>Guía / Personal Animal Paute</t>
  </si>
  <si>
    <t>45 min</t>
  </si>
  <si>
    <t>Visita a la escultura Récord Guinness y talleres de madera labrada</t>
  </si>
  <si>
    <t>Paseo escénico, descanso y fotografías junto a las orillas del río</t>
  </si>
  <si>
    <t>Parque Lineal de Paute</t>
  </si>
  <si>
    <t>Almuerzo típico y degustación de dulces y conservas del cantón</t>
  </si>
  <si>
    <t>Restaurante Local / Paute Centro</t>
  </si>
  <si>
    <t>Guía / Proveedor Gastronómico</t>
  </si>
  <si>
    <t>Traslado de retorno a Cuenca y desembarque de pasajeros</t>
  </si>
  <si>
    <t>Retorno a Parque Calderón</t>
  </si>
  <si>
    <t>Conductor / Guía</t>
  </si>
  <si>
    <t>3.2 CONDICIONES DE OPERACIÓN Y POLÍTICAS DE CANCELACIÓN</t>
  </si>
  <si>
    <t>Parámetro / Concepto</t>
  </si>
  <si>
    <t>Condición Operativa / Término del Servicio</t>
  </si>
  <si>
    <t>Detalle / Política Aplicable</t>
  </si>
  <si>
    <t>Mínimo de Pasajeros</t>
  </si>
  <si>
    <t>Salidas compartidas operan con un mínimo de 4 pasajeros confirmados.</t>
  </si>
  <si>
    <t>Si no se alcanza el cupo, se ofrece reprogramación o tarifa privada.</t>
  </si>
  <si>
    <t>Reserva y Anticipo</t>
  </si>
  <si>
    <t>Pago del 50% requerido al momento de confirmar la reserva.</t>
  </si>
  <si>
    <t>Saldo restante liquidable hasta 24 horas antes de la salida programada.</t>
  </si>
  <si>
    <t>Cancelación Previa (&gt;48h)</t>
  </si>
  <si>
    <t>Cancelaciones con más de 48 horas de anticipación reciben reembolso del 100%.</t>
  </si>
  <si>
    <t>Se deducen únicamente gastos administrativos y bancarios directos.</t>
  </si>
  <si>
    <t>Cancelación Tardía (&lt;24h)</t>
  </si>
  <si>
    <t>Cancelaciones con menos de 24 horas aplican penalización del 100%.</t>
  </si>
  <si>
    <t>Aplica igualmente en situaciones de no presentación al tour (No-show).</t>
  </si>
  <si>
    <t>Condiciones Climáticas</t>
  </si>
  <si>
    <t>La ruta opera con normalidad bajo lluvia ligera típica de montaña.</t>
  </si>
  <si>
    <t>Ante temporales extremos o niebla que afecte la seguridad, se adapta ruta.</t>
  </si>
  <si>
    <t>Cierre de Vías / Imprevistos</t>
  </si>
  <si>
    <t>Interrupciones o cierres en la vía Cuenca–El Descanso–Paute.</t>
  </si>
  <si>
    <t>Opción de reprogramar fecha o recorrido alternativo en el valle.</t>
  </si>
  <si>
    <t>Marco de Cobertura</t>
  </si>
  <si>
    <t>Operación bajo normativa turística cantonal de Paute y MINTUR.</t>
  </si>
  <si>
    <t>Asistencia al viajero y seguro de viaje activo en todo el recorrido.</t>
  </si>
  <si>
    <t>4. INCLUSIONES Y EXCLUSIONES DEL SERVICIO</t>
  </si>
  <si>
    <t>🎒 INCLUSIONES</t>
  </si>
  <si>
    <t>🚫 EXCLUSIONES</t>
  </si>
  <si>
    <t>Tipo: Naturalista acreditado</t>
  </si>
  <si>
    <t>• Transporte turístico de ida y vuelta en van climatizada con chofer profesional</t>
  </si>
  <si>
    <t>Ingreso a Destinos</t>
  </si>
  <si>
    <t>• Propinas a guías y choferes (voluntarias / opcionales)</t>
  </si>
  <si>
    <t>• Guía profesional de turismo acreditado en español</t>
  </si>
  <si>
    <t>• Gastos personales, compras de artesanías en madera y recuerdos</t>
  </si>
  <si>
    <t>• Entradas oficiales a Jurassic Paute y Animal Paute</t>
  </si>
  <si>
    <t>• Bebidas alcohólicas y consumos no contemplados en el menú acordado</t>
  </si>
  <si>
    <t>• Alimentación completa: almuerzo tradicional pauteño y refrigerio de agua</t>
  </si>
  <si>
    <t>• Actividades opcionales, desvíos o traslados fuera de itinerario</t>
  </si>
  <si>
    <t>• Botiquín de primeros auxilios y seguro de asistencia médica en viaje</t>
  </si>
  <si>
    <t>• Seguros especiales para actividades no programadas</t>
  </si>
  <si>
    <t>Entradas a reserva / atractivo</t>
  </si>
  <si>
    <t>• Visita guiada a La Cuchara de Palo y degustación tradicional de dulces</t>
  </si>
  <si>
    <t>`</t>
  </si>
  <si>
    <t>Actividades</t>
  </si>
  <si>
    <t>• Traslados o recojo personalizado fuera del punto de encuentro</t>
  </si>
  <si>
    <t>5. SEGURIDAD, RECOMENDACIONES Y RESTRICCIONES</t>
  </si>
  <si>
    <t>Recomendaciones al Pasajero</t>
  </si>
  <si>
    <t>Restricciones y Normativa Legal</t>
  </si>
  <si>
    <t>Juegos, Recreaciones, Etc</t>
  </si>
  <si>
    <t>Kit de Primeros Auxilio</t>
  </si>
  <si>
    <t>Vestimenta / Calzado</t>
  </si>
  <si>
    <t>Ropa ligera y cómoda para clima cálido, gorra y calzado deportivo</t>
  </si>
  <si>
    <t>Edad Permitida</t>
  </si>
  <si>
    <t>Apto para toda la familia (niños desde 3 años en adelante)</t>
  </si>
  <si>
    <t>Protección Solar</t>
  </si>
  <si>
    <t>Bloqueador solar SPF 50+, gorra, gafas UV</t>
  </si>
  <si>
    <t>Condición Física</t>
  </si>
  <si>
    <t>Baja / Familiar (caminatas llanas en senderos de parques)</t>
  </si>
  <si>
    <t>Pastillas para el mareo, estomago y demas</t>
  </si>
  <si>
    <t>Kit de Dulces</t>
  </si>
  <si>
    <t>Hidratación / Snacks</t>
  </si>
  <si>
    <t>Botella reutilizable con agua y snacks secos</t>
  </si>
  <si>
    <t>Salud / Gestación</t>
  </si>
  <si>
    <t>No recomendado en embarazos avanzados o cardiopatías</t>
  </si>
  <si>
    <t>Otros Elementos</t>
  </si>
  <si>
    <t>Cámara fotográfica, repelente, efectivo menudo</t>
  </si>
  <si>
    <t>Prohibiciones</t>
  </si>
  <si>
    <t>Prohibido fumar, botar basura o extraer especies</t>
  </si>
  <si>
    <t>Enlaces Legales</t>
  </si>
  <si>
    <t>Hidratacion</t>
  </si>
  <si>
    <t>Botella de Agua</t>
  </si>
  <si>
    <t>Alimentacion</t>
  </si>
  <si>
    <t>Alimentacion si esta incluida</t>
  </si>
  <si>
    <t>Seguro de viaje</t>
  </si>
  <si>
    <t>Valor del seguro</t>
  </si>
  <si>
    <t>Patente de Tour</t>
  </si>
  <si>
    <t>6. PUNTOS DE CONTACTO Y LOGÍSTICA DE ASISTENCIA</t>
  </si>
  <si>
    <t>Tipo de Punto</t>
  </si>
  <si>
    <t>Nombre / Ubicación</t>
  </si>
  <si>
    <t>Detalles / Contacto</t>
  </si>
  <si>
    <t>Observaciones</t>
  </si>
  <si>
    <t>Costo de la patente por pax</t>
  </si>
  <si>
    <t>Baños disponibles</t>
  </si>
  <si>
    <t>Otros Costos</t>
  </si>
  <si>
    <t>Jurassic Paute, Animal Paute y Parque Lineal</t>
  </si>
  <si>
    <t>Servicios higiénicos completos / Acceso libre para visitantes del tour</t>
  </si>
  <si>
    <t>Disponibles en cada parada técnica (km 35 - 45)</t>
  </si>
  <si>
    <t>Cajeros automáticos</t>
  </si>
  <si>
    <t>Banco Pichincha y Banco del Austro (Centro de Paute)</t>
  </si>
  <si>
    <t>Cajeros automáticos 24h. Recomendado retirar efectivo menudo antes de salir</t>
  </si>
  <si>
    <t>Disponibles en el centro cantonal de Paute</t>
  </si>
  <si>
    <t>Estacionamientos</t>
  </si>
  <si>
    <t>Parqueadero San Blas / Centro Histórico Cuenca</t>
  </si>
  <si>
    <t>Tarifa aproximada $0.75 - $1.00 por hora / Vigilancia permanente</t>
  </si>
  <si>
    <t>A 200 m del punto de salida (Parque Calderón)</t>
  </si>
  <si>
    <t>Clínicas / Hospitales</t>
  </si>
  <si>
    <t>Hospital Básico de Paute / Subcentro de Salud Paute</t>
  </si>
  <si>
    <t>Emergencias ECU 911 / Tel: (07) 225-0177</t>
  </si>
  <si>
    <t>A 5-10 minutos de los atractivos del valle</t>
  </si>
  <si>
    <t>Admin 15%, Marketing 10%, Tech 5%</t>
  </si>
  <si>
    <t>Operaciones / Soporte</t>
  </si>
  <si>
    <t>Central Cóndor Expeditions</t>
  </si>
  <si>
    <t>TOTAL COSTO X PAX</t>
  </si>
  <si>
    <t>Tel: +593 99 590 0614</t>
  </si>
  <si>
    <t>Monitoreo y asistencia permanente en ruta</t>
  </si>
  <si>
    <t>7. PLANTILLAS DE COMUNICACIÓN COMERCIAL (WHATSAPP)</t>
  </si>
  <si>
    <t>📲 Plantilla 1: Información y Cotización (WhatsApp)</t>
  </si>
  <si>
    <t>📋 Plantilla 2: Confirmación de Reserva (WhatsApp)</t>
  </si>
  <si>
    <t>Costo operativo total base</t>
  </si>
  <si>
    <t>COSTO UNITARIO</t>
  </si>
  <si>
    <t>¡Hola! 😊 Aquí tienes toda la información sobre nuestro tour:
🏞️ *TOUR:* Paute: Dinosaurios, Naturaleza y Sabores (NAT-004)
📝 *DESCRIPCIÓN:* Aventura familiar en el cálido valle de Paute. Recorrido temático con dinosaurios en Jurassic Paute, contacto de fauna en Animal Paute, visita a la escultura récord de La Cuchara de Palo y gastronomía típica.
💰 *PRECIO POR PERSONA:* $35 USD (Tarifa regular adulto)
✅ *¿Qué incluye?*
• Transporte turístico privado ida y vuelta desde Cuenca
• Guía profesional de turismo acreditado
• Entradas oficiales a Jurassic Paute y Animal Paute
• Visita a La Cuchara de Palo y Parque Lineal
• Almuerzo típico tradicional y refrigerio
❌ *No incluye:*
• Compras personales de artesanías y recuerdos
• Bebidas alcohólicas y propinas voluntarias
🎒 *Recomendaciones:* Ropa ligera para clima cálido, calzado cómodo, protector solar y efectivo menudo.
📋 *Condiciones de reserva:* 50% de anticipo para confirmar. Cancelación sin recargo hasta 48h antes. Pagos: Transferencia, tarjeta o efectivo.
📲 ¿Deseas consultar salidas disponibles o reservar tus cupos? ¡Con gusto te coordinamos! 🦕🌿</t>
  </si>
  <si>
    <t>¡Excelente elección! Te comparto los detalles para tu próxima aventura:
🎯 *TOUR:* Paute: Dinosaurios, Naturaleza y Sabores (NAT-004)
📅 *FECHA PROPUESTA:* [DD/MM/AAAA] — Salida: 08:30 | Retorno: 13:30
👥 *PERSONAS:* [Número de viajeros] ([Adultos] adultos, [Niños] niños)
💰 *PRECIO UNITARIO:* $35.00 USD por persona
🧾 *TOTAL:* $[Total liquidable] USD
✅ *¿Qué incluye?*
• Transporte turístico privado desde Cuenca
• Guía profesional certificado
• Entradas a Jurassic Paute y Animal Paute
• Almuerzo típico tradicional pauteño
❌ *No incluye:*
• Propinas y compras personales
📋 *Condiciones:*
• 50% de anticipo para confirmación formal.
• Saldo restante liquidable 24h antes del tour.
• Cancelación flexible con más de 48h de anticipación.
• Salidas garantizadas con mínimo 4 pasajeros.
¿Te gustaría que emitamos tu confirmación oficial para esta fecha? 😊</t>
  </si>
  <si>
    <t>Costo operativo por persona</t>
  </si>
  <si>
    <t>8. EVALUACIÓN Y RECURSOS DIGITALES</t>
  </si>
  <si>
    <t>Formulario de Feedback</t>
  </si>
  <si>
    <t>UTILIDAD ALCANZADA</t>
  </si>
  <si>
    <t>Canales OTA / Tags</t>
  </si>
  <si>
    <t>Booking, AirBnb, Expidia, TrueAvisor, Viator, GetYourGuide, Web Oficial | #CondorExpeditions</t>
  </si>
  <si>
    <t>Valor Real Alcanzado</t>
  </si>
  <si>
    <t>6.2 MATRIZ DE SENSIBILIDAD DE MARGEN</t>
  </si>
  <si>
    <t>Tarifa Venta PAX / PVP :</t>
  </si>
  <si>
    <t>Ocupación</t>
  </si>
  <si>
    <t>Costo / Pax ($)</t>
  </si>
  <si>
    <t>Margen Bruto ($)</t>
  </si>
  <si>
    <t>% Margen</t>
  </si>
  <si>
    <t>CALCULOS</t>
  </si>
  <si>
    <t>6.4 MATRIZ DE PRECIOS POR CANAL DE DISTRIBUCIÓN</t>
  </si>
  <si>
    <t>Canal de Venta</t>
  </si>
  <si>
    <t>Precio PVP ($)</t>
  </si>
  <si>
    <t>TOTAL COSTO (2-4 pax)</t>
  </si>
  <si>
    <t>Comisión / Dto.</t>
  </si>
  <si>
    <t>Ingreso Neto ($)</t>
  </si>
  <si>
    <t>Público Directo (Web oficial)</t>
  </si>
  <si>
    <t>WhatsApp / Pago anticipado (-5% dto)</t>
  </si>
  <si>
    <t>Agencias Minoristas (15% com)</t>
  </si>
  <si>
    <t>Mayoristas de Turismo 
(20% com)</t>
  </si>
  <si>
    <t>OTAs 
(GetYourGuide / Viator 22%)</t>
  </si>
  <si>
    <t>DATOS BASE DE TOUR</t>
  </si>
  <si>
    <t>Maximo Descuento</t>
  </si>
  <si>
    <t>UTILIDAD ESTIMADA</t>
  </si>
  <si>
    <t>VALOR BASE</t>
  </si>
  <si>
    <t>Grupos (8+ pax) (-10% dto)</t>
  </si>
  <si>
    <t>PROVEEDOR DE TRANSPORTE</t>
  </si>
  <si>
    <t>TRANSTOUR CIUDAD ROJA</t>
  </si>
  <si>
    <t>Privado Exclusivo (+60% tarifa)</t>
  </si>
  <si>
    <t>TEMPORALIDAD</t>
  </si>
  <si>
    <t>Temporada Baja (-7,5% descuento)</t>
  </si>
  <si>
    <t>-7.5%</t>
  </si>
  <si>
    <t>Promedio General por Canal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</si>
</sst>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0.0%"/>
    <numFmt numFmtId="166" formatCode="&quot;$&quot;#,##0.00"/>
  </numFmts>
  <fonts count="30">
    <font>
      <sz val="10.0"/>
      <color rgb="FF000000"/>
      <name val="Arial"/>
      <scheme val="minor"/>
    </font>
    <font>
      <sz val="10.0"/>
      <color rgb="FF161D1A"/>
      <name val="Roboto"/>
    </font>
    <font>
      <b/>
      <sz val="13.0"/>
      <color rgb="FFFFFFFF"/>
      <name val="Arial"/>
      <scheme val="minor"/>
    </font>
    <font/>
    <font>
      <b/>
      <color theme="1"/>
      <name val="Arial"/>
      <scheme val="minor"/>
    </font>
    <font>
      <b/>
      <sz val="11.0"/>
      <color rgb="FF146B53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0.0"/>
      <color theme="1"/>
      <name val="Roboto"/>
    </font>
    <font>
      <i/>
      <sz val="9.0"/>
      <color rgb="FF37474F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Roboto"/>
    </font>
    <font>
      <color theme="1"/>
      <name val="Arial"/>
    </font>
    <font>
      <b/>
      <color theme="1"/>
      <name val="Arial"/>
    </font>
    <font>
      <b/>
      <sz val="10.0"/>
      <color theme="1"/>
      <name val="Arial"/>
    </font>
    <font>
      <i/>
      <sz val="10.0"/>
      <color rgb="FF596666"/>
      <name val="Arial"/>
    </font>
    <font>
      <b/>
      <sz val="11.0"/>
      <color rgb="FF146B53"/>
      <name val="Arial"/>
    </font>
    <font>
      <b/>
      <sz val="10.0"/>
      <color rgb="FFFFFFFF"/>
      <name val="Arial"/>
    </font>
    <font>
      <b/>
      <sz val="10.0"/>
      <color rgb="FF161D1A"/>
      <name val="Arial"/>
    </font>
    <font>
      <sz val="10.0"/>
      <color rgb="FF161D1A"/>
      <name val="Arial"/>
    </font>
    <font>
      <b/>
      <color rgb="FF146B53"/>
      <name val="Arial"/>
      <scheme val="minor"/>
    </font>
    <font>
      <b/>
      <color rgb="FF99190C"/>
      <name val="Arial"/>
      <scheme val="minor"/>
    </font>
    <font>
      <u/>
      <color rgb="FF1155CC"/>
      <name val="Arial"/>
    </font>
    <font>
      <i/>
      <color theme="1"/>
      <name val="Arial"/>
      <scheme val="minor"/>
    </font>
    <font>
      <i/>
      <color theme="1"/>
      <name val="Arial"/>
    </font>
    <font>
      <u/>
      <color rgb="FF0000FF"/>
    </font>
    <font>
      <b/>
      <color rgb="FFFFFFFF"/>
      <name val="Arial"/>
    </font>
    <font>
      <b/>
      <sz val="10.0"/>
      <color theme="1"/>
      <name val="Arial"/>
      <scheme val="minor"/>
    </font>
    <font>
      <b/>
      <sz val="10.0"/>
      <color rgb="FF161D1A"/>
      <name val="Roboto"/>
    </font>
    <font>
      <b/>
      <sz val="10.0"/>
      <color rgb="FF000000"/>
      <name val="Roboto"/>
    </font>
  </fonts>
  <fills count="25">
    <fill>
      <patternFill patternType="none"/>
    </fill>
    <fill>
      <patternFill patternType="lightGray"/>
    </fill>
    <fill>
      <patternFill patternType="solid">
        <fgColor rgb="FF146B53"/>
        <bgColor rgb="FF146B53"/>
      </patternFill>
    </fill>
    <fill>
      <patternFill patternType="solid">
        <fgColor rgb="FFCEE9DC"/>
        <bgColor rgb="FFCEE9DC"/>
      </patternFill>
    </fill>
    <fill>
      <patternFill patternType="solid">
        <fgColor rgb="FFE9EEEB"/>
        <bgColor rgb="FFE9EEEB"/>
      </patternFill>
    </fill>
    <fill>
      <patternFill patternType="solid">
        <fgColor rgb="FFFFF2CC"/>
        <bgColor rgb="FFFFF2CC"/>
      </patternFill>
    </fill>
    <fill>
      <patternFill patternType="solid">
        <fgColor rgb="FFF4F7F5"/>
        <bgColor rgb="FFF4F7F5"/>
      </patternFill>
    </fill>
    <fill>
      <patternFill patternType="solid">
        <fgColor rgb="FFF6F9F7"/>
        <bgColor rgb="FFF6F9F7"/>
      </patternFill>
    </fill>
    <fill>
      <patternFill patternType="solid">
        <fgColor rgb="FFFFFFFF"/>
        <bgColor rgb="FFFFFFFF"/>
      </patternFill>
    </fill>
    <fill>
      <patternFill patternType="solid">
        <fgColor rgb="FFF7F9F9"/>
        <bgColor rgb="FFF7F9F9"/>
      </patternFill>
    </fill>
    <fill>
      <patternFill patternType="solid">
        <fgColor theme="7"/>
        <bgColor theme="7"/>
      </patternFill>
    </fill>
    <fill>
      <patternFill patternType="solid">
        <fgColor rgb="FFEEF7E3"/>
        <bgColor rgb="FFEEF7E3"/>
      </patternFill>
    </fill>
    <fill>
      <patternFill patternType="solid">
        <fgColor rgb="FFE1F3E9"/>
        <bgColor rgb="FFE1F3E9"/>
      </patternFill>
    </fill>
    <fill>
      <patternFill patternType="solid">
        <fgColor rgb="FFFFEBE6"/>
        <bgColor rgb="FFFFEBE6"/>
      </patternFill>
    </fill>
    <fill>
      <patternFill patternType="solid">
        <fgColor rgb="FFD8E0DB"/>
        <bgColor rgb="FFD8E0DB"/>
      </patternFill>
    </fill>
    <fill>
      <patternFill patternType="solid">
        <fgColor rgb="FFF8FBF9"/>
        <bgColor rgb="FFF8FBF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E67C73"/>
        <bgColor rgb="FFE67C73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37F422"/>
        <bgColor rgb="FF37F422"/>
      </patternFill>
    </fill>
    <fill>
      <patternFill patternType="solid">
        <fgColor rgb="FFD4D384"/>
        <bgColor rgb="FFD4D384"/>
      </patternFill>
    </fill>
  </fills>
  <borders count="80">
    <border/>
    <border>
      <left style="thin">
        <color rgb="FFB2BFB7"/>
      </left>
      <top style="thin">
        <color rgb="FFB2BFB7"/>
      </top>
      <bottom style="thin">
        <color rgb="FFCCD8D1"/>
      </bottom>
    </border>
    <border>
      <top style="thin">
        <color rgb="FFB2BFB7"/>
      </top>
      <bottom style="thin">
        <color rgb="FFCCD8D1"/>
      </bottom>
    </border>
    <border>
      <right style="thin">
        <color rgb="FFB2BFB7"/>
      </right>
      <top style="thin">
        <color rgb="FFB2BFB7"/>
      </top>
      <bottom style="thin">
        <color rgb="FFCCD8D1"/>
      </bottom>
    </border>
    <border>
      <left style="thin">
        <color rgb="FFB2BFB7"/>
      </left>
      <top style="thin">
        <color rgb="FFCCD8D1"/>
      </top>
      <bottom style="thin">
        <color rgb="FFCCD8D1"/>
      </bottom>
    </border>
    <border>
      <top style="thin">
        <color rgb="FFCCD8D1"/>
      </top>
      <bottom style="thin">
        <color rgb="FFCCD8D1"/>
      </bottom>
    </border>
    <border>
      <left style="thin">
        <color rgb="FF146B53"/>
      </left>
      <top style="thin">
        <color rgb="FF146B53"/>
      </top>
      <bottom style="thin">
        <color rgb="FFD8E0DB"/>
      </bottom>
    </border>
    <border>
      <right style="thin">
        <color rgb="FFB2BFB7"/>
      </right>
      <top style="thin">
        <color rgb="FFCCD8D1"/>
      </top>
      <bottom style="thin">
        <color rgb="FFCCD8D1"/>
      </bottom>
    </border>
    <border>
      <right style="thin">
        <color rgb="FFCCD8D1"/>
      </right>
      <top style="thin">
        <color rgb="FFCCD8D1"/>
      </top>
      <bottom style="thin">
        <color rgb="FFCCD8D1"/>
      </bottom>
    </border>
    <border>
      <top style="thin">
        <color rgb="FF146B53"/>
      </top>
      <bottom style="thin">
        <color rgb="FFD8E0DB"/>
      </bottom>
    </border>
    <border>
      <left style="thin">
        <color rgb="FF146B53"/>
      </left>
      <top style="thin">
        <color rgb="FF146B53"/>
      </top>
    </border>
    <border>
      <top style="thin">
        <color rgb="FF146B53"/>
      </top>
    </border>
    <border>
      <right style="thin">
        <color rgb="FF146B53"/>
      </right>
      <top style="thin">
        <color rgb="FF146B53"/>
      </top>
    </border>
    <border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CCD8D1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CD8D1"/>
      </left>
      <right style="thin">
        <color rgb="FFCCD8D1"/>
      </right>
      <bottom style="thin">
        <color rgb="FFCCD8D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D8D1"/>
      </left>
      <top style="thin">
        <color rgb="FFCCD8D1"/>
      </top>
      <bottom style="thin">
        <color rgb="FFCCD8D1"/>
      </bottom>
    </border>
    <border>
      <top style="thin">
        <color rgb="FF000000"/>
      </top>
      <bottom style="thin">
        <color rgb="FF000000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B2BFB7"/>
      </bottom>
    </border>
    <border>
      <left style="thin">
        <color rgb="FFCCD8D1"/>
      </left>
      <top style="thin">
        <color rgb="FFCCD8D1"/>
      </top>
      <bottom style="thin">
        <color rgb="FFB2BFB7"/>
      </bottom>
    </border>
    <border>
      <top style="thin">
        <color rgb="FFCCD8D1"/>
      </top>
      <bottom style="thin">
        <color rgb="FFB2BFB7"/>
      </bottom>
    </border>
    <border>
      <right style="thin">
        <color rgb="FFB2BFB7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CCD8D1"/>
      </right>
    </border>
    <border>
      <left style="thin">
        <color rgb="FF146B53"/>
      </left>
      <right style="thin">
        <color rgb="FFD8E0DB"/>
      </right>
      <top style="thin">
        <color rgb="FF146B53"/>
      </top>
    </border>
    <border>
      <left style="thin">
        <color rgb="FFD8E0DB"/>
      </left>
      <top style="thin">
        <color rgb="FF146B53"/>
      </top>
    </border>
    <border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146B53"/>
      </right>
      <top style="thin">
        <color rgb="FF146B53"/>
      </top>
    </border>
    <border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top style="thin">
        <color rgb="FF146B53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D8E0DB"/>
      </bottom>
    </border>
    <border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top style="thin">
        <color rgb="FFD8E0DB"/>
      </top>
      <bottom style="thin">
        <color rgb="FFD8E0DB"/>
      </bottom>
    </border>
    <border>
      <top style="thin">
        <color rgb="FFD8E0DB"/>
      </top>
      <bottom style="thin">
        <color rgb="FFD8E0DB"/>
      </bottom>
    </border>
    <border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146B53"/>
      </left>
      <top style="thin">
        <color rgb="FFD8E0DB"/>
      </top>
    </border>
    <border>
      <right style="thin">
        <color rgb="FFD8E0DB"/>
      </right>
      <top style="thin">
        <color rgb="FFD8E0DB"/>
      </top>
    </border>
    <border>
      <left style="thin">
        <color rgb="FFD8E0DB"/>
      </left>
      <top style="thin">
        <color rgb="FFD8E0DB"/>
      </top>
    </border>
    <border>
      <top style="thin">
        <color rgb="FFD8E0DB"/>
      </top>
    </border>
    <border>
      <right style="thin">
        <color rgb="FF146B53"/>
      </right>
      <top style="thin">
        <color rgb="FFD8E0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46B53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146B53"/>
      </right>
      <top style="thin">
        <color rgb="FFD8E0DB"/>
      </top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top style="thin">
        <color rgb="FFD8E0DB"/>
      </top>
      <bottom style="thin">
        <color rgb="FF146B53"/>
      </bottom>
    </border>
    <border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146B53"/>
      </bottom>
    </border>
    <border>
      <left style="thin">
        <color rgb="FF146B53"/>
      </left>
    </border>
    <border>
      <right style="thin">
        <color rgb="FFD8E0DB"/>
      </right>
    </border>
    <border>
      <left style="thin">
        <color rgb="FFD8E0DB"/>
      </left>
    </border>
    <border>
      <right style="thin">
        <color rgb="FF146B53"/>
      </right>
    </border>
    <border>
      <left style="thin">
        <color rgb="FF146B53"/>
      </left>
      <bottom style="thin">
        <color rgb="FF146B53"/>
      </bottom>
    </border>
    <border>
      <right style="thin">
        <color rgb="FFD8E0DB"/>
      </right>
      <bottom style="thin">
        <color rgb="FF146B53"/>
      </bottom>
    </border>
    <border>
      <left style="thin">
        <color rgb="FFD8E0DB"/>
      </left>
      <bottom style="thin">
        <color rgb="FF146B53"/>
      </bottom>
    </border>
    <border>
      <bottom style="thin">
        <color rgb="FF146B53"/>
      </bottom>
    </border>
    <border>
      <right style="thin">
        <color rgb="FF146B53"/>
      </right>
      <bottom style="thin">
        <color rgb="FF146B53"/>
      </bottom>
    </border>
    <border>
      <right style="thin">
        <color rgb="FF146B53"/>
      </right>
      <top style="thin">
        <color rgb="FFD8E0DB"/>
      </top>
      <bottom style="thin">
        <color rgb="FF146B53"/>
      </bottom>
    </border>
    <border>
      <bottom style="thin">
        <color rgb="FFD8E0DB"/>
      </bottom>
    </border>
    <border>
      <left style="thin">
        <color rgb="FF000000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2" fillId="0" fontId="3" numFmtId="0" xfId="0" applyBorder="1" applyFont="1"/>
    <xf borderId="0" fillId="0" fontId="4" numFmtId="0" xfId="0" applyFont="1"/>
    <xf borderId="0" fillId="0" fontId="2" numFmtId="0" xfId="0" applyAlignment="1" applyFont="1">
      <alignment horizontal="center" shrinkToFit="0" vertical="center" wrapText="1"/>
    </xf>
    <xf borderId="3" fillId="0" fontId="3" numFmtId="0" xfId="0" applyBorder="1" applyFont="1"/>
    <xf borderId="0" fillId="3" fontId="5" numFmtId="0" xfId="0" applyAlignment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/>
    </xf>
    <xf borderId="4" fillId="3" fontId="5" numFmtId="0" xfId="0" applyAlignment="1" applyBorder="1" applyFill="1" applyFont="1">
      <alignment horizontal="left" readingOrder="0" shrinkToFit="0" vertical="center" wrapText="1"/>
    </xf>
    <xf borderId="5" fillId="0" fontId="3" numFmtId="0" xfId="0" applyBorder="1" applyFont="1"/>
    <xf borderId="6" fillId="4" fontId="4" numFmtId="0" xfId="0" applyAlignment="1" applyBorder="1" applyFill="1" applyFont="1">
      <alignment horizontal="left" readingOrder="0" shrinkToFit="0" vertical="center" wrapText="1"/>
    </xf>
    <xf borderId="7" fillId="0" fontId="3" numFmtId="0" xfId="0" applyBorder="1" applyFont="1"/>
    <xf borderId="4" fillId="4" fontId="4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0" xfId="0" applyFont="1"/>
    <xf borderId="8" fillId="4" fontId="4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readingOrder="0"/>
    </xf>
    <xf borderId="9" fillId="4" fontId="4" numFmtId="0" xfId="0" applyAlignment="1" applyBorder="1" applyFill="1" applyFont="1">
      <alignment horizontal="center" readingOrder="0" shrinkToFit="0" vertical="center" wrapText="1"/>
    </xf>
    <xf borderId="10" fillId="2" fontId="2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4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4" fillId="4" fontId="4" numFmtId="0" xfId="0" applyAlignment="1" applyBorder="1" applyFill="1" applyFont="1">
      <alignment vertical="center"/>
    </xf>
    <xf borderId="15" fillId="2" fontId="7" numFmtId="0" xfId="0" applyAlignment="1" applyBorder="1" applyFill="1" applyFont="1">
      <alignment shrinkToFit="0" vertical="center" wrapText="1"/>
    </xf>
    <xf borderId="16" fillId="2" fontId="7" numFmtId="0" xfId="0" applyAlignment="1" applyBorder="1" applyFill="1" applyFont="1">
      <alignment horizontal="center" readingOrder="0" shrinkToFit="0" vertical="center" wrapText="1"/>
    </xf>
    <xf borderId="14" fillId="0" fontId="6" numFmtId="0" xfId="0" applyAlignment="1" applyBorder="1" applyFont="1">
      <alignment shrinkToFit="0" vertical="center" wrapText="1"/>
    </xf>
    <xf borderId="17" fillId="2" fontId="7" numFmtId="0" xfId="0" applyAlignment="1" applyBorder="1" applyFill="1" applyFont="1">
      <alignment shrinkToFit="0" vertical="center" wrapText="1"/>
    </xf>
    <xf borderId="14" fillId="0" fontId="6" numFmtId="0" xfId="0" applyAlignment="1" applyBorder="1" applyFont="1">
      <alignment readingOrder="0" vertical="center"/>
    </xf>
    <xf borderId="15" fillId="0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vertical="center"/>
    </xf>
    <xf borderId="10" fillId="3" fontId="5" numFmtId="0" xfId="0" applyAlignment="1" applyBorder="1" applyFill="1" applyFont="1">
      <alignment horizontal="left" vertical="center"/>
    </xf>
    <xf borderId="14" fillId="0" fontId="4" numFmtId="0" xfId="0" applyAlignment="1" applyBorder="1" applyFont="1">
      <alignment vertical="center"/>
    </xf>
    <xf borderId="18" fillId="0" fontId="8" numFmtId="0" xfId="0" applyAlignment="1" applyBorder="1" applyFont="1">
      <alignment readingOrder="0" shrinkToFit="0" vertical="center" wrapText="1"/>
    </xf>
    <xf borderId="18" fillId="4" fontId="4" numFmtId="0" xfId="0" applyAlignment="1" applyBorder="1" applyFill="1" applyFont="1">
      <alignment readingOrder="0" shrinkToFit="0" vertical="center" wrapText="1"/>
    </xf>
    <xf borderId="16" fillId="5" fontId="6" numFmtId="164" xfId="0" applyAlignment="1" applyBorder="1" applyFill="1" applyFont="1" applyNumberFormat="1">
      <alignment horizontal="center" readingOrder="0" shrinkToFit="0" vertical="center" wrapText="1"/>
    </xf>
    <xf borderId="19" fillId="0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20" fillId="4" fontId="4" numFmtId="0" xfId="0" applyAlignment="1" applyBorder="1" applyFill="1" applyFont="1">
      <alignment readingOrder="0" shrinkToFit="0" vertical="center" wrapText="1"/>
    </xf>
    <xf borderId="21" fillId="0" fontId="8" numFmtId="0" xfId="0" applyAlignment="1" applyBorder="1" applyFont="1">
      <alignment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24" fillId="0" fontId="8" numFmtId="0" xfId="0" applyAlignment="1" applyBorder="1" applyFont="1">
      <alignment readingOrder="0" shrinkToFit="0" vertical="center" wrapText="1"/>
    </xf>
    <xf borderId="22" fillId="0" fontId="6" numFmtId="0" xfId="0" applyAlignment="1" applyBorder="1" applyFont="1">
      <alignment horizontal="center" readingOrder="0" vertical="center"/>
    </xf>
    <xf borderId="4" fillId="6" fontId="9" numFmtId="0" xfId="0" applyAlignment="1" applyBorder="1" applyFill="1" applyFont="1">
      <alignment readingOrder="0" shrinkToFit="0" vertical="center" wrapText="1"/>
    </xf>
    <xf borderId="22" fillId="0" fontId="6" numFmtId="0" xfId="0" applyAlignment="1" applyBorder="1" applyFont="1">
      <alignment shrinkToFit="0" vertical="center" wrapText="1"/>
    </xf>
    <xf borderId="25" fillId="0" fontId="3" numFmtId="0" xfId="0" applyBorder="1" applyFont="1"/>
    <xf borderId="20" fillId="2" fontId="10" numFmtId="0" xfId="0" applyAlignment="1" applyBorder="1" applyFill="1" applyFont="1">
      <alignment horizontal="center" readingOrder="0" shrinkToFit="0" vertical="center" wrapText="1"/>
    </xf>
    <xf borderId="14" fillId="0" fontId="4" numFmtId="0" xfId="0" applyAlignment="1" applyBorder="1" applyFont="1">
      <alignment readingOrder="0" vertical="center"/>
    </xf>
    <xf borderId="18" fillId="2" fontId="10" numFmtId="0" xfId="0" applyAlignment="1" applyBorder="1" applyFill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shrinkToFit="0" vertical="center" wrapText="1"/>
    </xf>
    <xf borderId="19" fillId="2" fontId="10" numFmtId="0" xfId="0" applyAlignment="1" applyBorder="1" applyFill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20" fillId="7" fontId="4" numFmtId="0" xfId="0" applyAlignment="1" applyBorder="1" applyFill="1" applyFont="1">
      <alignment horizontal="center" readingOrder="0" shrinkToFit="0" vertical="center" wrapText="1"/>
    </xf>
    <xf borderId="18" fillId="7" fontId="8" numFmtId="0" xfId="0" applyAlignment="1" applyBorder="1" applyFill="1" applyFont="1">
      <alignment readingOrder="0" shrinkToFit="0" vertical="center" wrapText="1"/>
    </xf>
    <xf borderId="18" fillId="7" fontId="8" numFmtId="0" xfId="0" applyAlignment="1" applyBorder="1" applyFill="1" applyFont="1">
      <alignment horizontal="center" readingOrder="0" shrinkToFit="0" vertical="center" wrapText="1"/>
    </xf>
    <xf borderId="19" fillId="7" fontId="8" numFmtId="0" xfId="0" applyAlignment="1" applyBorder="1" applyFill="1" applyFont="1">
      <alignment readingOrder="0" shrinkToFit="0" vertical="center" wrapText="1"/>
    </xf>
    <xf borderId="26" fillId="7" fontId="4" numFmtId="0" xfId="0" applyAlignment="1" applyBorder="1" applyFill="1" applyFont="1">
      <alignment horizontal="center" readingOrder="0" shrinkToFit="0" vertical="center" wrapText="1"/>
    </xf>
    <xf borderId="27" fillId="7" fontId="8" numFmtId="0" xfId="0" applyAlignment="1" applyBorder="1" applyFill="1" applyFont="1">
      <alignment readingOrder="0" shrinkToFit="0" vertical="center" wrapText="1"/>
    </xf>
    <xf borderId="27" fillId="7" fontId="8" numFmtId="0" xfId="0" applyAlignment="1" applyBorder="1" applyFill="1" applyFont="1">
      <alignment horizontal="center" readingOrder="0" shrinkToFit="0" vertical="center" wrapText="1"/>
    </xf>
    <xf borderId="28" fillId="7" fontId="8" numFmtId="0" xfId="0" applyAlignment="1" applyBorder="1" applyFill="1" applyFont="1">
      <alignment readingOrder="0" shrinkToFit="0" vertical="center" wrapText="1"/>
    </xf>
    <xf borderId="14" fillId="0" fontId="6" numFmtId="0" xfId="0" applyAlignment="1" applyBorder="1" applyFont="1">
      <alignment readingOrder="0" vertical="center"/>
    </xf>
    <xf borderId="1" fillId="3" fontId="5" numFmtId="0" xfId="0" applyAlignment="1" applyBorder="1" applyFill="1" applyFont="1">
      <alignment horizontal="left" readingOrder="0" shrinkToFit="0" vertical="center" wrapText="1"/>
    </xf>
    <xf borderId="20" fillId="4" fontId="11" numFmtId="0" xfId="0" applyAlignment="1" applyBorder="1" applyFill="1" applyFont="1">
      <alignment readingOrder="0" shrinkToFit="0" vertical="center" wrapText="1"/>
    </xf>
    <xf borderId="18" fillId="4" fontId="11" numFmtId="0" xfId="0" applyAlignment="1" applyBorder="1" applyFill="1" applyFont="1">
      <alignment readingOrder="0" shrinkToFit="0" vertical="center" wrapText="1"/>
    </xf>
    <xf quotePrefix="1" borderId="18" fillId="0" fontId="8" numFmtId="0" xfId="0" applyAlignment="1" applyBorder="1" applyFont="1">
      <alignment readingOrder="0" shrinkToFit="0" vertical="center" wrapText="1"/>
    </xf>
    <xf quotePrefix="1" borderId="19" fillId="0" fontId="8" numFmtId="0" xfId="0" applyAlignment="1" applyBorder="1" applyFont="1">
      <alignment readingOrder="0" shrinkToFit="0" vertical="center" wrapText="1"/>
    </xf>
    <xf borderId="22" fillId="0" fontId="12" numFmtId="0" xfId="0" applyAlignment="1" applyBorder="1" applyFont="1">
      <alignment horizontal="center" vertical="bottom"/>
    </xf>
    <xf borderId="16" fillId="5" fontId="12" numFmtId="164" xfId="0" applyAlignment="1" applyBorder="1" applyFill="1" applyFont="1" applyNumberFormat="1">
      <alignment horizontal="center" shrinkToFit="0" vertical="bottom" wrapText="1"/>
    </xf>
    <xf borderId="26" fillId="4" fontId="11" numFmtId="0" xfId="0" applyAlignment="1" applyBorder="1" applyFill="1" applyFont="1">
      <alignment readingOrder="0" shrinkToFit="0" vertical="center" wrapText="1"/>
    </xf>
    <xf borderId="29" fillId="0" fontId="8" numFmtId="0" xfId="0" applyAlignment="1" applyBorder="1" applyFont="1">
      <alignment readingOrder="0" shrinkToFit="0" vertical="center" wrapText="1"/>
    </xf>
    <xf borderId="30" fillId="0" fontId="3" numFmtId="0" xfId="0" applyBorder="1" applyFont="1"/>
    <xf borderId="31" fillId="0" fontId="3" numFmtId="0" xfId="0" applyBorder="1" applyFont="1"/>
    <xf borderId="22" fillId="3" fontId="5" numFmtId="0" xfId="0" applyAlignment="1" applyBorder="1" applyFill="1" applyFont="1">
      <alignment horizontal="left" vertical="center"/>
    </xf>
    <xf borderId="32" fillId="0" fontId="8" numFmtId="0" xfId="0" applyAlignment="1" applyBorder="1" applyFont="1">
      <alignment shrinkToFit="0" vertical="center" wrapText="1"/>
    </xf>
    <xf borderId="14" fillId="0" fontId="12" numFmtId="0" xfId="0" applyAlignment="1" applyBorder="1" applyFont="1">
      <alignment readingOrder="0" shrinkToFit="0" wrapText="1"/>
    </xf>
    <xf borderId="14" fillId="0" fontId="13" numFmtId="0" xfId="0" applyAlignment="1" applyBorder="1" applyFont="1">
      <alignment shrinkToFit="0" wrapText="1"/>
    </xf>
    <xf borderId="22" fillId="0" fontId="12" numFmtId="0" xfId="0" applyAlignment="1" applyBorder="1" applyFont="1">
      <alignment shrinkToFit="0" wrapText="1"/>
    </xf>
    <xf borderId="14" fillId="0" fontId="13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readingOrder="0" vertical="center"/>
    </xf>
    <xf borderId="14" fillId="0" fontId="6" numFmtId="0" xfId="0" applyAlignment="1" applyBorder="1" applyFont="1">
      <alignment readingOrder="0" shrinkToFit="0" vertical="center" wrapText="1"/>
    </xf>
    <xf borderId="24" fillId="8" fontId="8" numFmtId="0" xfId="0" applyAlignment="1" applyBorder="1" applyFill="1" applyFont="1">
      <alignment readingOrder="0" shrinkToFit="0" vertical="center" wrapText="1"/>
    </xf>
    <xf borderId="14" fillId="0" fontId="13" numFmtId="0" xfId="0" applyBorder="1" applyFont="1"/>
    <xf borderId="22" fillId="0" fontId="12" numFmtId="0" xfId="0" applyAlignment="1" applyBorder="1" applyFont="1">
      <alignment readingOrder="0" vertical="bottom"/>
    </xf>
    <xf borderId="14" fillId="8" fontId="14" numFmtId="0" xfId="0" applyAlignment="1" applyBorder="1" applyFill="1" applyFont="1">
      <alignment horizontal="left" readingOrder="0" vertical="center"/>
    </xf>
    <xf borderId="22" fillId="9" fontId="1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left" vertical="center"/>
    </xf>
    <xf borderId="33" fillId="10" fontId="7" numFmtId="0" xfId="0" applyAlignment="1" applyBorder="1" applyFill="1" applyFont="1">
      <alignment horizontal="center" readingOrder="0"/>
    </xf>
    <xf borderId="34" fillId="10" fontId="7" numFmtId="0" xfId="0" applyAlignment="1" applyBorder="1" applyFill="1" applyFont="1">
      <alignment horizontal="left" shrinkToFit="0" wrapText="1"/>
    </xf>
    <xf borderId="35" fillId="10" fontId="3" numFmtId="0" xfId="0" applyBorder="1" applyFill="1" applyFont="1"/>
    <xf borderId="36" fillId="10" fontId="7" numFmtId="0" xfId="0" applyAlignment="1" applyBorder="1" applyFill="1" applyFont="1">
      <alignment horizontal="left"/>
    </xf>
    <xf borderId="37" fillId="10" fontId="7" numFmtId="0" xfId="0" applyAlignment="1" applyBorder="1" applyFill="1" applyFont="1">
      <alignment horizontal="left"/>
    </xf>
    <xf borderId="14" fillId="8" fontId="6" numFmtId="0" xfId="0" applyAlignment="1" applyBorder="1" applyFill="1" applyFont="1">
      <alignment horizontal="center" readingOrder="0" shrinkToFit="0" vertical="center" wrapText="1"/>
    </xf>
    <xf borderId="22" fillId="8" fontId="6" numFmtId="0" xfId="0" applyAlignment="1" applyBorder="1" applyFill="1" applyFont="1">
      <alignment readingOrder="0" shrinkToFit="0" vertical="center" wrapText="1"/>
    </xf>
    <xf borderId="23" fillId="8" fontId="3" numFmtId="0" xfId="0" applyBorder="1" applyFill="1" applyFont="1"/>
    <xf borderId="14" fillId="8" fontId="6" numFmtId="0" xfId="0" applyAlignment="1" applyBorder="1" applyFill="1" applyFont="1">
      <alignment readingOrder="0" shrinkToFit="0" vertical="center" wrapText="1"/>
    </xf>
    <xf borderId="14" fillId="11" fontId="6" numFmtId="0" xfId="0" applyAlignment="1" applyBorder="1" applyFill="1" applyFont="1">
      <alignment horizontal="center" readingOrder="0" shrinkToFit="0" vertical="center" wrapText="1"/>
    </xf>
    <xf borderId="22" fillId="11" fontId="6" numFmtId="0" xfId="0" applyAlignment="1" applyBorder="1" applyFill="1" applyFont="1">
      <alignment readingOrder="0" shrinkToFit="0" vertical="center" wrapText="1"/>
    </xf>
    <xf borderId="23" fillId="11" fontId="3" numFmtId="0" xfId="0" applyBorder="1" applyFill="1" applyFont="1"/>
    <xf borderId="14" fillId="11" fontId="6" numFmtId="0" xfId="0" applyAlignment="1" applyBorder="1" applyFill="1" applyFont="1">
      <alignment readingOrder="0" shrinkToFit="0" vertical="center" wrapText="1"/>
    </xf>
    <xf borderId="0" fillId="3" fontId="16" numFmtId="0" xfId="0" applyAlignment="1" applyFill="1" applyFont="1">
      <alignment horizontal="left" readingOrder="0" vertical="center"/>
    </xf>
    <xf borderId="33" fillId="2" fontId="17" numFmtId="0" xfId="0" applyAlignment="1" applyBorder="1" applyFill="1" applyFont="1">
      <alignment horizontal="left" readingOrder="0" shrinkToFit="0" vertical="center" wrapText="1"/>
    </xf>
    <xf borderId="34" fillId="2" fontId="17" numFmtId="0" xfId="0" applyAlignment="1" applyBorder="1" applyFill="1" applyFont="1">
      <alignment horizontal="left" readingOrder="0" shrinkToFit="0" vertical="center" wrapText="1"/>
    </xf>
    <xf borderId="35" fillId="0" fontId="3" numFmtId="0" xfId="0" applyBorder="1" applyFont="1"/>
    <xf borderId="14" fillId="8" fontId="18" numFmtId="0" xfId="0" applyAlignment="1" applyBorder="1" applyFill="1" applyFont="1">
      <alignment horizontal="left" readingOrder="0" shrinkToFit="0" vertical="center" wrapText="1"/>
    </xf>
    <xf borderId="22" fillId="8" fontId="19" numFmtId="0" xfId="0" applyAlignment="1" applyBorder="1" applyFill="1" applyFont="1">
      <alignment horizontal="left" readingOrder="0" shrinkToFit="0" vertical="center" wrapText="1"/>
    </xf>
    <xf borderId="0" fillId="8" fontId="1" numFmtId="0" xfId="0" applyAlignment="1" applyFill="1" applyFont="1">
      <alignment vertical="center"/>
    </xf>
    <xf borderId="6" fillId="12" fontId="20" numFmtId="0" xfId="0" applyBorder="1" applyFill="1" applyFont="1"/>
    <xf borderId="38" fillId="0" fontId="3" numFmtId="0" xfId="0" applyBorder="1" applyFont="1"/>
    <xf borderId="39" fillId="13" fontId="21" numFmtId="0" xfId="0" applyBorder="1" applyFill="1" applyFont="1"/>
    <xf borderId="9" fillId="0" fontId="3" numFmtId="0" xfId="0" applyBorder="1" applyFont="1"/>
    <xf borderId="13" fillId="0" fontId="3" numFmtId="0" xfId="0" applyBorder="1" applyFont="1"/>
    <xf borderId="15" fillId="0" fontId="6" numFmtId="0" xfId="0" applyAlignment="1" applyBorder="1" applyFont="1">
      <alignment readingOrder="0" shrinkToFit="0" vertical="center" wrapText="1"/>
    </xf>
    <xf borderId="40" fillId="0" fontId="1" numFmtId="0" xfId="0" applyAlignment="1" applyBorder="1" applyFont="1">
      <alignment readingOrder="0" shrinkToFit="0" vertical="center" wrapText="1"/>
    </xf>
    <xf borderId="41" fillId="0" fontId="3" numFmtId="0" xfId="0" applyBorder="1" applyFont="1"/>
    <xf borderId="42" fillId="0" fontId="1" numFmtId="0" xfId="0" applyAlignment="1" applyBorder="1" applyFont="1">
      <alignment readingOrder="0" shrinkToFit="0" vertical="center" wrapText="1"/>
    </xf>
    <xf borderId="43" fillId="0" fontId="3" numFmtId="0" xfId="0" applyBorder="1" applyFont="1"/>
    <xf borderId="44" fillId="0" fontId="3" numFmtId="0" xfId="0" applyBorder="1" applyFont="1"/>
    <xf borderId="42" fillId="0" fontId="6" numFmtId="164" xfId="0" applyAlignment="1" applyBorder="1" applyFont="1" applyNumberFormat="1">
      <alignment horizontal="center" shrinkToFit="0" vertical="center" wrapText="1"/>
    </xf>
    <xf borderId="45" fillId="0" fontId="1" numFmtId="0" xfId="0" applyAlignment="1" applyBorder="1" applyFont="1">
      <alignment readingOrder="0" shrinkToFit="0" vertical="center" wrapText="1"/>
    </xf>
    <xf borderId="46" fillId="0" fontId="3" numFmtId="0" xfId="0" applyBorder="1" applyFont="1"/>
    <xf borderId="47" fillId="0" fontId="1" numFmtId="0" xfId="0" applyAlignment="1" applyBorder="1" applyFont="1">
      <alignment readingOrder="0" shrinkToFit="0" vertical="center" wrapText="1"/>
    </xf>
    <xf borderId="48" fillId="0" fontId="3" numFmtId="0" xfId="0" applyBorder="1" applyFont="1"/>
    <xf borderId="49" fillId="0" fontId="3" numFmtId="0" xfId="0" applyBorder="1" applyFont="1"/>
    <xf borderId="22" fillId="14" fontId="4" numFmtId="0" xfId="0" applyBorder="1" applyFill="1" applyFont="1"/>
    <xf borderId="22" fillId="4" fontId="4" numFmtId="0" xfId="0" applyBorder="1" applyFill="1" applyFont="1"/>
    <xf borderId="17" fillId="5" fontId="6" numFmtId="0" xfId="0" applyAlignment="1" applyBorder="1" applyFill="1" applyFont="1">
      <alignment readingOrder="0" shrinkToFit="0" vertical="center" wrapText="1"/>
    </xf>
    <xf borderId="14" fillId="14" fontId="4" numFmtId="0" xfId="0" applyAlignment="1" applyBorder="1" applyFill="1" applyFont="1">
      <alignment shrinkToFit="0" vertical="center" wrapText="1"/>
    </xf>
    <xf borderId="14" fillId="14" fontId="6" numFmtId="0" xfId="0" applyAlignment="1" applyBorder="1" applyFill="1" applyFont="1">
      <alignment readingOrder="0" shrinkToFit="0" vertical="center" wrapText="1"/>
    </xf>
    <xf borderId="14" fillId="4" fontId="4" numFmtId="0" xfId="0" applyAlignment="1" applyBorder="1" applyFill="1" applyFont="1">
      <alignment shrinkToFit="0" vertical="center" wrapText="1"/>
    </xf>
    <xf borderId="22" fillId="4" fontId="6" numFmtId="0" xfId="0" applyAlignment="1" applyBorder="1" applyFill="1" applyFont="1">
      <alignment readingOrder="0" shrinkToFit="0" vertical="center" wrapText="1"/>
    </xf>
    <xf borderId="14" fillId="14" fontId="6" numFmtId="0" xfId="0" applyAlignment="1" applyBorder="1" applyFill="1" applyFont="1">
      <alignment shrinkToFit="0" vertical="center" wrapText="1"/>
    </xf>
    <xf borderId="22" fillId="4" fontId="6" numFmtId="0" xfId="0" applyAlignment="1" applyBorder="1" applyFill="1" applyFont="1">
      <alignment shrinkToFit="0" vertical="center" wrapText="1"/>
    </xf>
    <xf borderId="50" fillId="0" fontId="4" numFmtId="0" xfId="0" applyAlignment="1" applyBorder="1" applyFont="1">
      <alignment shrinkToFit="0" vertical="center" wrapText="1"/>
    </xf>
    <xf borderId="22" fillId="0" fontId="22" numFmtId="0" xfId="0" applyAlignment="1" applyBorder="1" applyFont="1">
      <alignment shrinkToFit="0" wrapText="1"/>
    </xf>
    <xf borderId="51" fillId="0" fontId="3" numFmtId="0" xfId="0" applyBorder="1" applyFont="1"/>
    <xf borderId="52" fillId="0" fontId="3" numFmtId="0" xfId="0" applyBorder="1" applyFont="1"/>
    <xf borderId="53" fillId="2" fontId="7" numFmtId="0" xfId="0" applyAlignment="1" applyBorder="1" applyFill="1" applyFont="1">
      <alignment horizontal="left"/>
    </xf>
    <xf borderId="54" fillId="2" fontId="7" numFmtId="0" xfId="0" applyAlignment="1" applyBorder="1" applyFill="1" applyFont="1">
      <alignment horizontal="left"/>
    </xf>
    <xf borderId="39" fillId="2" fontId="7" numFmtId="0" xfId="0" applyAlignment="1" applyBorder="1" applyFill="1" applyFont="1">
      <alignment horizontal="left"/>
    </xf>
    <xf borderId="55" fillId="2" fontId="7" numFmtId="0" xfId="0" applyAlignment="1" applyBorder="1" applyFill="1" applyFont="1">
      <alignment horizontal="left"/>
    </xf>
    <xf borderId="15" fillId="0" fontId="4" numFmtId="0" xfId="0" applyAlignment="1" applyBorder="1" applyFont="1">
      <alignment readingOrder="0" shrinkToFit="0" vertical="center" wrapText="1"/>
    </xf>
    <xf borderId="16" fillId="0" fontId="6" numFmtId="0" xfId="0" applyAlignment="1" applyBorder="1" applyFont="1">
      <alignment readingOrder="0" shrinkToFit="0" vertical="center" wrapText="1"/>
    </xf>
    <xf borderId="56" fillId="0" fontId="6" numFmtId="0" xfId="0" applyAlignment="1" applyBorder="1" applyFont="1">
      <alignment readingOrder="0" shrinkToFit="0" vertical="center" wrapText="1"/>
    </xf>
    <xf borderId="42" fillId="0" fontId="6" numFmtId="0" xfId="0" applyAlignment="1" applyBorder="1" applyFont="1">
      <alignment readingOrder="0" shrinkToFit="0" vertical="center" wrapText="1"/>
    </xf>
    <xf borderId="57" fillId="5" fontId="6" numFmtId="164" xfId="0" applyAlignment="1" applyBorder="1" applyFill="1" applyFont="1" applyNumberFormat="1">
      <alignment horizontal="center" readingOrder="0" shrinkToFit="0" vertical="center" wrapText="1"/>
    </xf>
    <xf borderId="17" fillId="0" fontId="6" numFmtId="0" xfId="0" applyAlignment="1" applyBorder="1" applyFont="1">
      <alignment readingOrder="0" shrinkToFit="0" vertical="center" wrapText="1"/>
    </xf>
    <xf borderId="58" fillId="5" fontId="6" numFmtId="0" xfId="0" applyAlignment="1" applyBorder="1" applyFill="1" applyFont="1">
      <alignment shrinkToFit="0" vertical="center" wrapText="1"/>
    </xf>
    <xf borderId="59" fillId="0" fontId="4" numFmtId="0" xfId="0" applyAlignment="1" applyBorder="1" applyFont="1">
      <alignment readingOrder="0" shrinkToFit="0" vertical="center" wrapText="1"/>
    </xf>
    <xf borderId="60" fillId="0" fontId="6" numFmtId="0" xfId="0" applyAlignment="1" applyBorder="1" applyFont="1">
      <alignment readingOrder="0" shrinkToFit="0" vertical="center" wrapText="1"/>
    </xf>
    <xf borderId="14" fillId="4" fontId="4" numFmtId="0" xfId="0" applyAlignment="1" applyBorder="1" applyFill="1" applyFont="1">
      <alignment readingOrder="0" shrinkToFit="0" vertical="center" wrapText="1"/>
    </xf>
    <xf borderId="61" fillId="0" fontId="6" numFmtId="0" xfId="0" applyAlignment="1" applyBorder="1" applyFont="1">
      <alignment readingOrder="0" shrinkToFit="0" vertical="center" wrapText="1"/>
    </xf>
    <xf borderId="62" fillId="0" fontId="3" numFmtId="0" xfId="0" applyBorder="1" applyFont="1"/>
    <xf borderId="63" fillId="0" fontId="6" numFmtId="0" xfId="0" applyAlignment="1" applyBorder="1" applyFont="1">
      <alignment readingOrder="0" shrinkToFit="0" vertical="center" wrapText="1"/>
    </xf>
    <xf borderId="14" fillId="4" fontId="4" numFmtId="164" xfId="0" applyAlignment="1" applyBorder="1" applyFill="1" applyFont="1" applyNumberFormat="1">
      <alignment horizontal="center" shrinkToFit="0" vertical="center" wrapText="1"/>
    </xf>
    <xf borderId="6" fillId="4" fontId="4" numFmtId="0" xfId="0" applyAlignment="1" applyBorder="1" applyFill="1" applyFont="1">
      <alignment shrinkToFit="0" vertical="center" wrapText="1"/>
    </xf>
    <xf borderId="39" fillId="4" fontId="4" numFmtId="0" xfId="0" applyAlignment="1" applyBorder="1" applyFill="1" applyFont="1">
      <alignment shrinkToFit="0" vertical="center" wrapText="1"/>
    </xf>
    <xf borderId="14" fillId="4" fontId="23" numFmtId="0" xfId="0" applyAlignment="1" applyBorder="1" applyFill="1" applyFont="1">
      <alignment shrinkToFit="0" vertical="center" wrapText="1"/>
    </xf>
    <xf borderId="14" fillId="3" fontId="4" numFmtId="0" xfId="0" applyAlignment="1" applyBorder="1" applyFill="1" applyFont="1">
      <alignment readingOrder="0" shrinkToFit="0" vertical="center" wrapText="1"/>
    </xf>
    <xf borderId="45" fillId="15" fontId="6" numFmtId="0" xfId="0" applyAlignment="1" applyBorder="1" applyFill="1" applyFont="1">
      <alignment readingOrder="0" shrinkToFit="0" vertical="top" wrapText="1"/>
    </xf>
    <xf borderId="14" fillId="3" fontId="4" numFmtId="164" xfId="0" applyAlignment="1" applyBorder="1" applyFill="1" applyFont="1" applyNumberFormat="1">
      <alignment horizontal="center" shrinkToFit="0" vertical="center" wrapText="1"/>
    </xf>
    <xf borderId="47" fillId="15" fontId="6" numFmtId="0" xfId="0" applyAlignment="1" applyBorder="1" applyFill="1" applyFont="1">
      <alignment readingOrder="0" shrinkToFit="0" vertical="top" wrapText="1"/>
    </xf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14" fillId="3" fontId="23" numFmtId="0" xfId="0" applyAlignment="1" applyBorder="1" applyFill="1" applyFont="1">
      <alignment readingOrder="0" shrinkToFit="0" vertical="center" wrapText="1"/>
    </xf>
    <xf borderId="0" fillId="0" fontId="6" numFmtId="10" xfId="0" applyAlignment="1" applyFont="1" applyNumberFormat="1">
      <alignment readingOrder="0"/>
    </xf>
    <xf borderId="14" fillId="16" fontId="13" numFmtId="0" xfId="0" applyAlignment="1" applyBorder="1" applyFill="1" applyFont="1">
      <alignment shrinkToFit="0" wrapText="1"/>
    </xf>
    <xf borderId="14" fillId="16" fontId="13" numFmtId="164" xfId="0" applyAlignment="1" applyBorder="1" applyFill="1" applyFont="1" applyNumberFormat="1">
      <alignment horizontal="center" shrinkToFit="0" wrapText="1"/>
    </xf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6" fillId="3" fontId="5" numFmtId="0" xfId="0" applyAlignment="1" applyBorder="1" applyFill="1" applyFont="1">
      <alignment horizontal="left" vertical="center"/>
    </xf>
    <xf borderId="59" fillId="0" fontId="4" numFmtId="0" xfId="0" applyAlignment="1" applyBorder="1" applyFont="1">
      <alignment shrinkToFit="0" vertical="center" wrapText="1"/>
    </xf>
    <xf borderId="14" fillId="16" fontId="24" numFmtId="0" xfId="0" applyAlignment="1" applyBorder="1" applyFill="1" applyFont="1">
      <alignment shrinkToFit="0" wrapText="1"/>
    </xf>
    <xf borderId="60" fillId="0" fontId="25" numFmtId="0" xfId="0" applyAlignment="1" applyBorder="1" applyFont="1">
      <alignment shrinkToFit="0" vertical="center" wrapText="1"/>
    </xf>
    <xf borderId="14" fillId="17" fontId="13" numFmtId="0" xfId="0" applyAlignment="1" applyBorder="1" applyFill="1" applyFont="1">
      <alignment vertical="bottom"/>
    </xf>
    <xf borderId="60" fillId="0" fontId="4" numFmtId="0" xfId="0" applyAlignment="1" applyBorder="1" applyFont="1">
      <alignment shrinkToFit="0" vertical="center" wrapText="1"/>
    </xf>
    <xf borderId="73" fillId="0" fontId="3" numFmtId="0" xfId="0" applyBorder="1" applyFont="1"/>
    <xf borderId="14" fillId="17" fontId="4" numFmtId="10" xfId="0" applyAlignment="1" applyBorder="1" applyFill="1" applyFont="1" applyNumberFormat="1">
      <alignment horizontal="center" readingOrder="0" shrinkToFit="0" vertical="center" wrapText="1"/>
    </xf>
    <xf borderId="14" fillId="17" fontId="12" numFmtId="0" xfId="0" applyAlignment="1" applyBorder="1" applyFill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42" fillId="2" fontId="7" numFmtId="0" xfId="0" applyAlignment="1" applyBorder="1" applyFill="1" applyFont="1">
      <alignment horizontal="center" readingOrder="0" shrinkToFit="0" vertical="center" wrapText="1"/>
    </xf>
    <xf borderId="42" fillId="2" fontId="7" numFmtId="0" xfId="0" applyAlignment="1" applyBorder="1" applyFill="1" applyFont="1">
      <alignment shrinkToFit="0" vertical="center" wrapText="1"/>
    </xf>
    <xf borderId="10" fillId="4" fontId="4" numFmtId="0" xfId="0" applyAlignment="1" applyBorder="1" applyFill="1" applyFont="1">
      <alignment horizontal="left" readingOrder="0" shrinkToFit="0" vertical="center" wrapText="1"/>
    </xf>
    <xf borderId="35" fillId="4" fontId="4" numFmtId="0" xfId="0" applyAlignment="1" applyBorder="1" applyFill="1" applyFont="1">
      <alignment horizontal="center" readingOrder="0" shrinkToFit="0" vertical="center" wrapText="1"/>
    </xf>
    <xf borderId="42" fillId="0" fontId="6" numFmtId="0" xfId="0" applyAlignment="1" applyBorder="1" applyFont="1">
      <alignment shrinkToFit="0" vertical="center" wrapText="1"/>
    </xf>
    <xf borderId="34" fillId="4" fontId="20" numFmtId="164" xfId="0" applyAlignment="1" applyBorder="1" applyFill="1" applyFont="1" applyNumberFormat="1">
      <alignment horizontal="center" readingOrder="0" shrinkToFit="0" vertical="center" wrapText="1"/>
    </xf>
    <xf borderId="74" fillId="0" fontId="7" numFmtId="0" xfId="0" applyAlignment="1" applyBorder="1" applyFont="1">
      <alignment shrinkToFit="0" vertical="center" wrapText="1"/>
    </xf>
    <xf borderId="75" fillId="2" fontId="26" numFmtId="0" xfId="0" applyAlignment="1" applyBorder="1" applyFill="1" applyFont="1">
      <alignment horizontal="center" shrinkToFit="0" wrapText="1"/>
    </xf>
    <xf borderId="76" fillId="2" fontId="26" numFmtId="0" xfId="0" applyAlignment="1" applyBorder="1" applyFill="1" applyFont="1">
      <alignment horizontal="center" shrinkToFit="0" wrapText="1"/>
    </xf>
    <xf borderId="77" fillId="2" fontId="26" numFmtId="0" xfId="0" applyAlignment="1" applyBorder="1" applyFill="1" applyFont="1">
      <alignment horizontal="center" shrinkToFit="0" wrapText="1"/>
    </xf>
    <xf borderId="43" fillId="0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4" fillId="18" fontId="12" numFmtId="164" xfId="0" applyAlignment="1" applyBorder="1" applyFill="1" applyFont="1" applyNumberFormat="1">
      <alignment readingOrder="0" shrinkToFit="0" vertical="bottom" wrapText="1"/>
    </xf>
    <xf borderId="14" fillId="19" fontId="12" numFmtId="164" xfId="0" applyAlignment="1" applyBorder="1" applyFill="1" applyFont="1" applyNumberFormat="1">
      <alignment shrinkToFit="0" vertical="bottom" wrapText="1"/>
    </xf>
    <xf borderId="78" fillId="20" fontId="12" numFmtId="165" xfId="0" applyAlignment="1" applyBorder="1" applyFill="1" applyFont="1" applyNumberFormat="1">
      <alignment shrinkToFit="0" wrapText="1"/>
    </xf>
    <xf borderId="0" fillId="0" fontId="6" numFmtId="164" xfId="0" applyFont="1" applyNumberFormat="1"/>
    <xf borderId="0" fillId="0" fontId="6" numFmtId="165" xfId="0" applyFont="1" applyNumberFormat="1"/>
    <xf borderId="14" fillId="21" fontId="12" numFmtId="164" xfId="0" applyAlignment="1" applyBorder="1" applyFill="1" applyFont="1" applyNumberFormat="1">
      <alignment shrinkToFit="0" vertical="bottom" wrapText="1"/>
    </xf>
    <xf borderId="14" fillId="22" fontId="12" numFmtId="164" xfId="0" applyAlignment="1" applyBorder="1" applyFill="1" applyFont="1" applyNumberFormat="1">
      <alignment shrinkToFit="0" vertical="bottom" wrapText="1"/>
    </xf>
    <xf borderId="14" fillId="23" fontId="12" numFmtId="164" xfId="0" applyAlignment="1" applyBorder="1" applyFill="1" applyFont="1" applyNumberFormat="1">
      <alignment shrinkToFit="0" vertical="bottom" wrapText="1"/>
    </xf>
    <xf borderId="14" fillId="24" fontId="12" numFmtId="164" xfId="0" applyAlignment="1" applyBorder="1" applyFill="1" applyFont="1" applyNumberFormat="1">
      <alignment readingOrder="0" shrinkToFit="0" vertical="bottom" wrapText="1"/>
    </xf>
    <xf borderId="14" fillId="18" fontId="12" numFmtId="164" xfId="0" applyAlignment="1" applyBorder="1" applyFill="1" applyFont="1" applyNumberFormat="1">
      <alignment vertical="bottom"/>
    </xf>
    <xf borderId="48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79" fillId="0" fontId="6" numFmtId="0" xfId="0" applyAlignment="1" applyBorder="1" applyFont="1">
      <alignment horizontal="center" readingOrder="0" shrinkToFit="0" vertical="center" wrapText="1"/>
    </xf>
    <xf borderId="79" fillId="4" fontId="13" numFmtId="0" xfId="0" applyAlignment="1" applyBorder="1" applyFill="1" applyFont="1">
      <alignment horizontal="center" shrinkToFit="0" vertical="center" wrapText="1"/>
    </xf>
    <xf borderId="47" fillId="0" fontId="6" numFmtId="164" xfId="0" applyAlignment="1" applyBorder="1" applyFont="1" applyNumberFormat="1">
      <alignment horizontal="center" shrinkToFit="0" vertical="center" wrapText="1"/>
    </xf>
    <xf borderId="14" fillId="4" fontId="13" numFmtId="166" xfId="0" applyAlignment="1" applyBorder="1" applyFill="1" applyFont="1" applyNumberFormat="1">
      <alignment horizontal="left" vertical="center"/>
    </xf>
    <xf borderId="14" fillId="4" fontId="13" numFmtId="10" xfId="0" applyAlignment="1" applyBorder="1" applyFill="1" applyFont="1" applyNumberFormat="1">
      <alignment horizontal="left" shrinkToFit="0" vertical="top" wrapText="1"/>
    </xf>
    <xf borderId="0" fillId="0" fontId="4" numFmtId="0" xfId="0" applyAlignment="1" applyFont="1">
      <alignment shrinkToFit="0" vertical="center" wrapText="1"/>
    </xf>
    <xf borderId="6" fillId="3" fontId="5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right" readingOrder="0" shrinkToFit="0" wrapText="1"/>
    </xf>
    <xf borderId="47" fillId="0" fontId="6" numFmtId="0" xfId="0" applyAlignment="1" applyBorder="1" applyFont="1">
      <alignment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15" fillId="0" fontId="12" numFmtId="0" xfId="0" applyAlignment="1" applyBorder="1" applyFont="1">
      <alignment shrinkToFit="0" vertical="center" wrapText="1"/>
    </xf>
    <xf borderId="22" fillId="4" fontId="23" numFmtId="0" xfId="0" applyAlignment="1" applyBorder="1" applyFill="1" applyFont="1">
      <alignment shrinkToFit="0" vertical="center" wrapText="1"/>
    </xf>
    <xf borderId="16" fillId="0" fontId="12" numFmtId="164" xfId="0" applyAlignment="1" applyBorder="1" applyFont="1" applyNumberFormat="1">
      <alignment horizontal="center" shrinkToFit="0" vertical="center" wrapText="1"/>
    </xf>
    <xf borderId="16" fillId="0" fontId="12" numFmtId="165" xfId="0" applyAlignment="1" applyBorder="1" applyFont="1" applyNumberFormat="1">
      <alignment horizontal="center" shrinkToFit="0" vertical="center" wrapText="1"/>
    </xf>
    <xf borderId="17" fillId="0" fontId="12" numFmtId="164" xfId="0" applyAlignment="1" applyBorder="1" applyFont="1" applyNumberFormat="1">
      <alignment horizontal="center" shrinkToFit="0" vertical="center" wrapText="1"/>
    </xf>
    <xf borderId="22" fillId="3" fontId="23" numFmtId="0" xfId="0" applyAlignment="1" applyBorder="1" applyFill="1" applyFont="1">
      <alignment readingOrder="0" shrinkToFit="0" vertical="center" wrapText="1"/>
    </xf>
    <xf borderId="22" fillId="16" fontId="24" numFmtId="0" xfId="0" applyAlignment="1" applyBorder="1" applyFill="1" applyFont="1">
      <alignment shrinkToFit="0" wrapText="1"/>
    </xf>
    <xf borderId="15" fillId="0" fontId="12" numFmtId="0" xfId="0" applyAlignment="1" applyBorder="1" applyFont="1">
      <alignment shrinkToFit="0" vertical="center" wrapText="1"/>
    </xf>
    <xf borderId="22" fillId="17" fontId="12" numFmtId="0" xfId="0" applyAlignment="1" applyBorder="1" applyFill="1" applyFont="1">
      <alignment vertical="bottom"/>
    </xf>
    <xf borderId="22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4" fillId="0" fontId="27" numFmtId="0" xfId="0" applyAlignment="1" applyBorder="1" applyFont="1">
      <alignment readingOrder="0"/>
    </xf>
    <xf borderId="22" fillId="5" fontId="27" numFmtId="10" xfId="0" applyAlignment="1" applyBorder="1" applyFill="1" applyFont="1" applyNumberFormat="1">
      <alignment horizontal="center" readingOrder="0"/>
    </xf>
    <xf borderId="22" fillId="5" fontId="27" numFmtId="166" xfId="0" applyAlignment="1" applyBorder="1" applyFill="1" applyFont="1" applyNumberFormat="1">
      <alignment horizontal="center" readingOrder="0"/>
    </xf>
    <xf borderId="0" fillId="0" fontId="6" numFmtId="0" xfId="0" applyAlignment="1" applyFont="1">
      <alignment horizontal="center"/>
    </xf>
    <xf borderId="14" fillId="0" fontId="28" numFmtId="0" xfId="0" applyAlignment="1" applyBorder="1" applyFont="1">
      <alignment readingOrder="0" vertical="center"/>
    </xf>
    <xf borderId="22" fillId="0" fontId="1" numFmtId="0" xfId="0" applyAlignment="1" applyBorder="1" applyFont="1">
      <alignment horizontal="center" readingOrder="0" vertical="center"/>
    </xf>
    <xf borderId="14" fillId="0" fontId="29" numFmtId="0" xfId="0" applyAlignment="1" applyBorder="1" applyFont="1">
      <alignment readingOrder="0" vertical="center"/>
    </xf>
    <xf borderId="22" fillId="0" fontId="6" numFmtId="0" xfId="0" applyAlignment="1" applyBorder="1" applyFont="1">
      <alignment horizontal="center" vertical="center"/>
    </xf>
    <xf borderId="59" fillId="4" fontId="13" numFmtId="0" xfId="0" applyAlignment="1" applyBorder="1" applyFill="1" applyFont="1">
      <alignment shrinkToFit="0" wrapText="1"/>
    </xf>
    <xf borderId="60" fillId="4" fontId="12" numFmtId="164" xfId="0" applyBorder="1" applyFill="1" applyFont="1" applyNumberFormat="1"/>
    <xf borderId="60" fillId="4" fontId="12" numFmtId="165" xfId="0" applyBorder="1" applyFill="1" applyFont="1" applyNumberFormat="1"/>
    <xf borderId="63" fillId="4" fontId="13" numFmtId="164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5" pivot="0" name="VIABILIDAD FINANCIER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'VIABILIDAD FINANCIERA'!$G$3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FINANCIERA'!$G$4:$G$21</c:f>
              <c:numCache/>
            </c:numRef>
          </c:val>
        </c:ser>
        <c:ser>
          <c:idx val="1"/>
          <c:order val="1"/>
          <c:tx>
            <c:strRef>
              <c:f>'VIABILIDAD FINANCIERA'!$H$3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FINANCIERA'!$H$4:$H$21</c:f>
              <c:numCache/>
            </c:numRef>
          </c:val>
        </c:ser>
        <c:axId val="639966380"/>
        <c:axId val="1061736019"/>
      </c:barChart>
      <c:catAx>
        <c:axId val="639966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736019"/>
      </c:catAx>
      <c:valAx>
        <c:axId val="1061736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966380"/>
      </c:valAx>
      <c:lineChart>
        <c:varyColors val="0"/>
        <c:ser>
          <c:idx val="2"/>
          <c:order val="2"/>
          <c:tx>
            <c:strRef>
              <c:f>'VIABILIDAD FINANCIERA'!$I$3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'VIABILIDAD FINANCIERA'!$F$4:$F$21</c:f>
            </c:strRef>
          </c:cat>
          <c:val>
            <c:numRef>
              <c:f>'VIABILIDAD FINANCIERA'!$I$4:$I$21</c:f>
              <c:numCache/>
            </c:numRef>
          </c:val>
          <c:smooth val="1"/>
        </c:ser>
        <c:axId val="656672302"/>
        <c:axId val="1212042283"/>
      </c:lineChart>
      <c:catAx>
        <c:axId val="6566723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042283"/>
      </c:catAx>
      <c:valAx>
        <c:axId val="12120422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6723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180975</xdr:rowOff>
    </xdr:from>
    <xdr:ext cx="9353550" cy="703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7:D36" displayName="Distribucion" name="Distribucion" id="1">
  <tableColumns count="4">
    <tableColumn totalsRowLabel="Temporada Baja (-7,5% descuento)" name="Canal de Venta" id="1"/>
    <tableColumn totalsRowFunction="custom" name="Precio PVP ($)" id="2"/>
    <tableColumn totalsRowLabel="-7.5%" name="Comisión / Dto." id="3"/>
    <tableColumn totalsRowFunction="custom" name="Ingreso Neto ($)" id="4"/>
  </tableColumns>
  <tableStyleInfo name="VIABILIDAD FINANCIE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4" max="4" width="4.0"/>
    <col customWidth="1" min="6" max="6" width="4.13"/>
    <col customWidth="1" min="8" max="8" width="4.5"/>
    <col customWidth="1" min="9" max="9" width="16.63"/>
    <col customWidth="1" min="10" max="10" width="3.38"/>
    <col customWidth="1" min="11" max="12" width="6.88"/>
    <col customWidth="1" min="13" max="13" width="3.38"/>
    <col customWidth="1" min="14" max="14" width="23.5"/>
    <col customWidth="1" min="17" max="17" width="2.88"/>
    <col customWidth="1" min="18" max="18" width="8.38"/>
    <col customWidth="1" min="19" max="20" width="3.75"/>
  </cols>
  <sheetData>
    <row r="1">
      <c r="A1" s="6" t="str">
        <f>IFERROR(__xludf.DUMMYFUNCTION("IMPORTRANGE(""1dSSQGdzji-I-S89PZ6JN-XosTLpqBKogy6v1RSpLOIY"",""CATEGORIAS TOURS!Categoria[Categoria]"")"),"Cultura")</f>
        <v>Cultura</v>
      </c>
      <c r="B1" s="6"/>
      <c r="C1" s="11" t="str">
        <f>IFERROR(__xludf.DUMMYFUNCTION("IMPORTRANGE(""1dSSQGdzji-I-S89PZ6JN-XosTLpqBKogy6v1RSpLOIY"",""DIFICULTAD TOUR!Dificultad[DIFICULTAD]"")"),"Facil")</f>
        <v>Facil</v>
      </c>
      <c r="D1" s="6"/>
      <c r="E1" s="6" t="str">
        <f>IFERROR(__xludf.DUMMYFUNCTION("IMPORTRANGE(""1dSSQGdzji-I-S89PZ6JN-XosTLpqBKogy6v1RSpLOIY"",""PUBLICO OBJETIVO!Publico[Publico]"")"),"Familias")</f>
        <v>Familias</v>
      </c>
      <c r="F1" s="6"/>
      <c r="G1" s="6" t="str">
        <f>IFERROR(__xludf.DUMMYFUNCTION("IMPORTRANGE(""1dSSQGdzji-I-S89PZ6JN-XosTLpqBKogy6v1RSpLOIY"",""IDIOMAS DISPONIBLES!Idiomas[idioma]"")"),"Español")</f>
        <v>Español</v>
      </c>
      <c r="H1" s="6"/>
      <c r="I1" s="6" t="str">
        <f>IFERROR(__xludf.DUMMYFUNCTION("IMPORTRANGE(""1dSSQGdzji-I-S89PZ6JN-XosTLpqBKogy6v1RSpLOIY"",""TEMPORALIDAD!Temporada[Temporada]"")"),"Enero")</f>
        <v>Enero</v>
      </c>
      <c r="K1" s="18" t="str">
        <f>IFERROR(__xludf.DUMMYFUNCTION("IMPORTRANGE(""1dSSQGdzji-I-S89PZ6JN-XosTLpqBKogy6v1RSpLOIY"",""TEMPORALIDAD!Temporada[Duracion]"")"),"4 Horas")</f>
        <v>4 Horas</v>
      </c>
      <c r="L1" s="20">
        <v>40.0</v>
      </c>
      <c r="N1" s="6" t="str">
        <f>IFERROR(__xludf.DUMMYFUNCTION("IMPORTRANGE(""1dSSQGdzji-I-S89PZ6JN-XosTLpqBKogy6v1RSpLOIY"",""PROVEEDORES TRANSPORTE!ProvedorTransporte"")"),"TRANSTOUR CIUDAD ROJA")</f>
        <v>TRANSTOUR CIUDAD ROJA</v>
      </c>
      <c r="O1" s="18" t="str">
        <f>IFERROR(__xludf.DUMMYFUNCTION("""COMPUTED_VALUE"""),"NESTOR REINOSO GUAMAN")</f>
        <v>NESTOR REINOSO GUAMAN</v>
      </c>
      <c r="P1" s="18"/>
      <c r="Q1" s="18">
        <f>IFERROR(__xludf.DUMMYFUNCTION("""COMPUTED_VALUE"""),4.0)</f>
        <v>4</v>
      </c>
      <c r="R1" s="18" t="str">
        <f>IFERROR(__xludf.DUMMYFUNCTION("""COMPUTED_VALUE"""),"4 HORAS")</f>
        <v>4 HORAS</v>
      </c>
      <c r="S1" s="18">
        <f>IFERROR(__xludf.DUMMYFUNCTION("""COMPUTED_VALUE"""),80.0)</f>
        <v>80</v>
      </c>
      <c r="T1" s="18">
        <f>IFERROR(__xludf.DUMMYFUNCTION("""COMPUTED_VALUE"""),120.0)</f>
        <v>120</v>
      </c>
    </row>
    <row r="2">
      <c r="A2" s="18" t="str">
        <f>IFERROR(__xludf.DUMMYFUNCTION("""COMPUTED_VALUE"""),"Arquitectura")</f>
        <v>Arquitectura</v>
      </c>
      <c r="C2" s="18" t="str">
        <f>IFERROR(__xludf.DUMMYFUNCTION("""COMPUTED_VALUE"""),"Intermedio")</f>
        <v>Intermedio</v>
      </c>
      <c r="E2" s="18" t="str">
        <f>IFERROR(__xludf.DUMMYFUNCTION("""COMPUTED_VALUE"""),"Aventureros")</f>
        <v>Aventureros</v>
      </c>
      <c r="G2" s="18" t="str">
        <f>IFERROR(__xludf.DUMMYFUNCTION("""COMPUTED_VALUE"""),"Ingles")</f>
        <v>Ingles</v>
      </c>
      <c r="I2" s="18" t="str">
        <f>IFERROR(__xludf.DUMMYFUNCTION("""COMPUTED_VALUE"""),"Febrero")</f>
        <v>Febrero</v>
      </c>
      <c r="K2" s="18" t="str">
        <f>IFERROR(__xludf.DUMMYFUNCTION("""COMPUTED_VALUE"""),"8 Horas")</f>
        <v>8 Horas</v>
      </c>
      <c r="L2" s="20">
        <v>70.0</v>
      </c>
      <c r="N2" s="18" t="str">
        <f>IFERROR(__xludf.DUMMYFUNCTION("""COMPUTED_VALUE"""),"TRANSTOUR CIUDAD ROJA")</f>
        <v>TRANSTOUR CIUDAD ROJA</v>
      </c>
      <c r="O2" s="18" t="str">
        <f>IFERROR(__xludf.DUMMYFUNCTION("""COMPUTED_VALUE"""),"NESTOR REINOSO GUAMAN")</f>
        <v>NESTOR REINOSO GUAMAN</v>
      </c>
      <c r="P2" s="18"/>
      <c r="Q2" s="18">
        <f>IFERROR(__xludf.DUMMYFUNCTION("""COMPUTED_VALUE"""),7.0)</f>
        <v>7</v>
      </c>
      <c r="R2" s="18" t="str">
        <f>IFERROR(__xludf.DUMMYFUNCTION("""COMPUTED_VALUE"""),"4 HORAS")</f>
        <v>4 HORAS</v>
      </c>
      <c r="S2" s="18">
        <f>IFERROR(__xludf.DUMMYFUNCTION("""COMPUTED_VALUE"""),90.0)</f>
        <v>90</v>
      </c>
      <c r="T2" s="18">
        <f>IFERROR(__xludf.DUMMYFUNCTION("""COMPUTED_VALUE"""),130.0)</f>
        <v>130</v>
      </c>
    </row>
    <row r="3">
      <c r="A3" s="18" t="str">
        <f>IFERROR(__xludf.DUMMYFUNCTION("""COMPUTED_VALUE"""),"Gastronomía")</f>
        <v>Gastronomía</v>
      </c>
      <c r="C3" s="18" t="str">
        <f>IFERROR(__xludf.DUMMYFUNCTION("""COMPUTED_VALUE"""),"Medio")</f>
        <v>Medio</v>
      </c>
      <c r="E3" s="18" t="str">
        <f>IFERROR(__xludf.DUMMYFUNCTION("""COMPUTED_VALUE"""),"Culturistas")</f>
        <v>Culturistas</v>
      </c>
      <c r="I3" s="18" t="str">
        <f>IFERROR(__xludf.DUMMYFUNCTION("""COMPUTED_VALUE"""),"Marzo")</f>
        <v>Marzo</v>
      </c>
      <c r="K3" s="18" t="str">
        <f>IFERROR(__xludf.DUMMYFUNCTION("""COMPUTED_VALUE"""),"2 Horas")</f>
        <v>2 Horas</v>
      </c>
      <c r="N3" s="18" t="str">
        <f>IFERROR(__xludf.DUMMYFUNCTION("""COMPUTED_VALUE"""),"TRANSTOUR CIUDAD ROJA")</f>
        <v>TRANSTOUR CIUDAD ROJA</v>
      </c>
      <c r="O3" s="18" t="str">
        <f>IFERROR(__xludf.DUMMYFUNCTION("""COMPUTED_VALUE"""),"NESTOR REINOSO GUAMAN")</f>
        <v>NESTOR REINOSO GUAMAN</v>
      </c>
      <c r="P3" s="18"/>
      <c r="Q3" s="18">
        <f>IFERROR(__xludf.DUMMYFUNCTION("""COMPUTED_VALUE"""),12.0)</f>
        <v>12</v>
      </c>
      <c r="R3" s="18" t="str">
        <f>IFERROR(__xludf.DUMMYFUNCTION("""COMPUTED_VALUE"""),"4 HORAS")</f>
        <v>4 HORAS</v>
      </c>
      <c r="S3" s="18">
        <f>IFERROR(__xludf.DUMMYFUNCTION("""COMPUTED_VALUE"""),120.0)</f>
        <v>120</v>
      </c>
      <c r="T3" s="18">
        <f>IFERROR(__xludf.DUMMYFUNCTION("""COMPUTED_VALUE"""),150.0)</f>
        <v>150</v>
      </c>
    </row>
    <row r="4">
      <c r="A4" s="18" t="str">
        <f>IFERROR(__xludf.DUMMYFUNCTION("""COMPUTED_VALUE"""),"Naturaleza")</f>
        <v>Naturaleza</v>
      </c>
      <c r="C4" s="18" t="str">
        <f>IFERROR(__xludf.DUMMYFUNCTION("""COMPUTED_VALUE"""),"Dificil")</f>
        <v>Dificil</v>
      </c>
      <c r="E4" s="18" t="str">
        <f>IFERROR(__xludf.DUMMYFUNCTION("""COMPUTED_VALUE"""),"Fotografos")</f>
        <v>Fotografos</v>
      </c>
      <c r="I4" s="18" t="str">
        <f>IFERROR(__xludf.DUMMYFUNCTION("""COMPUTED_VALUE"""),"Abril")</f>
        <v>Abril</v>
      </c>
      <c r="K4" s="18"/>
      <c r="N4" s="18" t="str">
        <f>IFERROR(__xludf.DUMMYFUNCTION("""COMPUTED_VALUE"""),"TRANSTOUR CIUDAD ROJA")</f>
        <v>TRANSTOUR CIUDAD ROJA</v>
      </c>
      <c r="O4" s="18" t="str">
        <f>IFERROR(__xludf.DUMMYFUNCTION("""COMPUTED_VALUE"""),"NESTOR REINOSO GUAMAN")</f>
        <v>NESTOR REINOSO GUAMAN</v>
      </c>
      <c r="P4" s="18"/>
      <c r="Q4" s="18">
        <f>IFERROR(__xludf.DUMMYFUNCTION("""COMPUTED_VALUE"""),16.0)</f>
        <v>16</v>
      </c>
      <c r="R4" s="18" t="str">
        <f>IFERROR(__xludf.DUMMYFUNCTION("""COMPUTED_VALUE"""),"4 HORAS")</f>
        <v>4 HORAS</v>
      </c>
      <c r="S4" s="18">
        <f>IFERROR(__xludf.DUMMYFUNCTION("""COMPUTED_VALUE"""),140.0)</f>
        <v>140</v>
      </c>
      <c r="T4" s="18">
        <f>IFERROR(__xludf.DUMMYFUNCTION("""COMPUTED_VALUE"""),180.0)</f>
        <v>180</v>
      </c>
    </row>
    <row r="5">
      <c r="A5" s="18" t="str">
        <f>IFERROR(__xludf.DUMMYFUNCTION("""COMPUTED_VALUE"""),"Artesanal")</f>
        <v>Artesanal</v>
      </c>
      <c r="C5" s="18" t="str">
        <f>IFERROR(__xludf.DUMMYFUNCTION("""COMPUTED_VALUE"""),"Muy Dificil")</f>
        <v>Muy Dificil</v>
      </c>
      <c r="E5" s="18" t="str">
        <f>IFERROR(__xludf.DUMMYFUNCTION("""COMPUTED_VALUE"""),"Extranjeros")</f>
        <v>Extranjeros</v>
      </c>
      <c r="I5" s="18" t="str">
        <f>IFERROR(__xludf.DUMMYFUNCTION("""COMPUTED_VALUE"""),"Mayo")</f>
        <v>Mayo</v>
      </c>
      <c r="K5" s="18"/>
      <c r="N5" s="18" t="str">
        <f>IFERROR(__xludf.DUMMYFUNCTION("""COMPUTED_VALUE"""),"TRANSTOUR CIUDAD ROJA")</f>
        <v>TRANSTOUR CIUDAD ROJA</v>
      </c>
      <c r="O5" s="18" t="str">
        <f>IFERROR(__xludf.DUMMYFUNCTION("""COMPUTED_VALUE"""),"NESTOR REINOSO GUAMAN")</f>
        <v>NESTOR REINOSO GUAMAN</v>
      </c>
      <c r="P5" s="18"/>
      <c r="Q5" s="18">
        <f>IFERROR(__xludf.DUMMYFUNCTION("""COMPUTED_VALUE"""),4.0)</f>
        <v>4</v>
      </c>
      <c r="R5" s="18" t="str">
        <f>IFERROR(__xludf.DUMMYFUNCTION("""COMPUTED_VALUE"""),"8 HORAS")</f>
        <v>8 HORAS</v>
      </c>
      <c r="S5" s="18">
        <f>IFERROR(__xludf.DUMMYFUNCTION("""COMPUTED_VALUE"""),120.0)</f>
        <v>120</v>
      </c>
      <c r="T5" s="18">
        <f>IFERROR(__xludf.DUMMYFUNCTION("""COMPUTED_VALUE"""),140.0)</f>
        <v>140</v>
      </c>
    </row>
    <row r="6">
      <c r="A6" s="18" t="str">
        <f>IFERROR(__xludf.DUMMYFUNCTION("""COMPUTED_VALUE"""),"Histórico")</f>
        <v>Histórico</v>
      </c>
      <c r="E6" s="18" t="str">
        <f>IFERROR(__xludf.DUMMYFUNCTION("""COMPUTED_VALUE"""),"Grupos")</f>
        <v>Grupos</v>
      </c>
      <c r="I6" s="18" t="str">
        <f>IFERROR(__xludf.DUMMYFUNCTION("""COMPUTED_VALUE"""),"Junio")</f>
        <v>Junio</v>
      </c>
      <c r="K6" s="18"/>
      <c r="N6" s="18" t="str">
        <f>IFERROR(__xludf.DUMMYFUNCTION("""COMPUTED_VALUE"""),"TRANSTOUR CIUDAD ROJA")</f>
        <v>TRANSTOUR CIUDAD ROJA</v>
      </c>
      <c r="O6" s="18" t="str">
        <f>IFERROR(__xludf.DUMMYFUNCTION("""COMPUTED_VALUE"""),"NESTOR REINOSO GUAMAN")</f>
        <v>NESTOR REINOSO GUAMAN</v>
      </c>
      <c r="P6" s="18"/>
      <c r="Q6" s="18">
        <f>IFERROR(__xludf.DUMMYFUNCTION("""COMPUTED_VALUE"""),8.0)</f>
        <v>8</v>
      </c>
      <c r="R6" s="18" t="str">
        <f>IFERROR(__xludf.DUMMYFUNCTION("""COMPUTED_VALUE"""),"8 HORAS")</f>
        <v>8 HORAS</v>
      </c>
      <c r="S6" s="18">
        <f>IFERROR(__xludf.DUMMYFUNCTION("""COMPUTED_VALUE"""),130.0)</f>
        <v>130</v>
      </c>
      <c r="T6" s="18">
        <f>IFERROR(__xludf.DUMMYFUNCTION("""COMPUTED_VALUE"""),150.0)</f>
        <v>150</v>
      </c>
    </row>
    <row r="7">
      <c r="A7" s="18" t="str">
        <f>IFERROR(__xludf.DUMMYFUNCTION("""COMPUTED_VALUE"""),"Aventura")</f>
        <v>Aventura</v>
      </c>
      <c r="I7" s="18" t="str">
        <f>IFERROR(__xludf.DUMMYFUNCTION("""COMPUTED_VALUE"""),"Julio")</f>
        <v>Julio</v>
      </c>
      <c r="K7" s="18"/>
      <c r="N7" s="18" t="str">
        <f>IFERROR(__xludf.DUMMYFUNCTION("""COMPUTED_VALUE"""),"TRANSTOUR CIUDAD ROJA")</f>
        <v>TRANSTOUR CIUDAD ROJA</v>
      </c>
      <c r="O7" s="18" t="str">
        <f>IFERROR(__xludf.DUMMYFUNCTION("""COMPUTED_VALUE"""),"NESTOR REINOSO GUAMAN")</f>
        <v>NESTOR REINOSO GUAMAN</v>
      </c>
      <c r="P7" s="18"/>
      <c r="Q7" s="18">
        <f>IFERROR(__xludf.DUMMYFUNCTION("""COMPUTED_VALUE"""),12.0)</f>
        <v>12</v>
      </c>
      <c r="R7" s="18" t="str">
        <f>IFERROR(__xludf.DUMMYFUNCTION("""COMPUTED_VALUE"""),"8 HORAS")</f>
        <v>8 HORAS</v>
      </c>
      <c r="S7" s="18">
        <f>IFERROR(__xludf.DUMMYFUNCTION("""COMPUTED_VALUE"""),160.0)</f>
        <v>160</v>
      </c>
      <c r="T7" s="18">
        <f>IFERROR(__xludf.DUMMYFUNCTION("""COMPUTED_VALUE"""),180.0)</f>
        <v>180</v>
      </c>
    </row>
    <row r="8">
      <c r="A8" s="18" t="str">
        <f>IFERROR(__xludf.DUMMYFUNCTION("""COMPUTED_VALUE"""),"Religión")</f>
        <v>Religión</v>
      </c>
      <c r="I8" s="18" t="str">
        <f>IFERROR(__xludf.DUMMYFUNCTION("""COMPUTED_VALUE"""),"Agosto")</f>
        <v>Agosto</v>
      </c>
      <c r="K8" s="18"/>
      <c r="N8" s="18" t="str">
        <f>IFERROR(__xludf.DUMMYFUNCTION("""COMPUTED_VALUE"""),"TRANSTOUR CIUDAD ROJA")</f>
        <v>TRANSTOUR CIUDAD ROJA</v>
      </c>
      <c r="O8" s="18" t="str">
        <f>IFERROR(__xludf.DUMMYFUNCTION("""COMPUTED_VALUE"""),"NESTOR REINOSO GUAMAN")</f>
        <v>NESTOR REINOSO GUAMAN</v>
      </c>
      <c r="P8" s="18"/>
      <c r="Q8" s="18">
        <f>IFERROR(__xludf.DUMMYFUNCTION("""COMPUTED_VALUE"""),16.0)</f>
        <v>16</v>
      </c>
      <c r="R8" s="18" t="str">
        <f>IFERROR(__xludf.DUMMYFUNCTION("""COMPUTED_VALUE"""),"8 HORAS")</f>
        <v>8 HORAS</v>
      </c>
      <c r="S8" s="18">
        <f>IFERROR(__xludf.DUMMYFUNCTION("""COMPUTED_VALUE"""),180.0)</f>
        <v>180</v>
      </c>
      <c r="T8" s="18">
        <f>IFERROR(__xludf.DUMMYFUNCTION("""COMPUTED_VALUE"""),200.0)</f>
        <v>200</v>
      </c>
    </row>
    <row r="9">
      <c r="A9" s="18" t="str">
        <f>IFERROR(__xludf.DUMMYFUNCTION("""COMPUTED_VALUE"""),"Ecoturismo")</f>
        <v>Ecoturismo</v>
      </c>
      <c r="I9" s="18" t="str">
        <f>IFERROR(__xludf.DUMMYFUNCTION("""COMPUTED_VALUE"""),"Septiembre")</f>
        <v>Septiembre</v>
      </c>
      <c r="K9" s="18"/>
      <c r="N9" s="18"/>
      <c r="O9" s="18"/>
      <c r="P9" s="18"/>
      <c r="Q9" s="18">
        <f>IFERROR(__xludf.DUMMYFUNCTION("""COMPUTED_VALUE"""),4.0)</f>
        <v>4</v>
      </c>
      <c r="R9" s="18" t="str">
        <f>IFERROR(__xludf.DUMMYFUNCTION("""COMPUTED_VALUE"""),"8 HORAS")</f>
        <v>8 HORAS</v>
      </c>
      <c r="S9" s="18">
        <f>IFERROR(__xludf.DUMMYFUNCTION("""COMPUTED_VALUE"""),90.0)</f>
        <v>90</v>
      </c>
      <c r="T9" s="18">
        <f>IFERROR(__xludf.DUMMYFUNCTION("""COMPUTED_VALUE"""),75.0)</f>
        <v>75</v>
      </c>
    </row>
    <row r="10">
      <c r="A10" s="18" t="str">
        <f>IFERROR(__xludf.DUMMYFUNCTION("""COMPUTED_VALUE"""),"Comunitario")</f>
        <v>Comunitario</v>
      </c>
      <c r="I10" s="18" t="str">
        <f>IFERROR(__xludf.DUMMYFUNCTION("""COMPUTED_VALUE"""),"Octubre")</f>
        <v>Octubre</v>
      </c>
      <c r="K10" s="18"/>
    </row>
    <row r="11">
      <c r="A11" s="18" t="str">
        <f>IFERROR(__xludf.DUMMYFUNCTION("""COMPUTED_VALUE"""),"Bienestar")</f>
        <v>Bienestar</v>
      </c>
      <c r="I11" s="18" t="str">
        <f>IFERROR(__xludf.DUMMYFUNCTION("""COMPUTED_VALUE"""),"Noviembre")</f>
        <v>Noviembre</v>
      </c>
      <c r="K11" s="18"/>
    </row>
    <row r="12">
      <c r="A12" s="18" t="str">
        <f>IFERROR(__xludf.DUMMYFUNCTION("""COMPUTED_VALUE"""),"Fotográfico")</f>
        <v>Fotográfico</v>
      </c>
      <c r="I12" s="18" t="str">
        <f>IFERROR(__xludf.DUMMYFUNCTION("""COMPUTED_VALUE"""),"Diciembre")</f>
        <v>Diciembre</v>
      </c>
      <c r="K12" s="18"/>
    </row>
    <row r="13">
      <c r="A13" s="18" t="str">
        <f>IFERROR(__xludf.DUMMYFUNCTION("""COMPUTED_VALUE"""),"Espiritual")</f>
        <v>Espiritual</v>
      </c>
      <c r="I13" s="18" t="str">
        <f>IFERROR(__xludf.DUMMYFUNCTION("""COMPUTED_VALUE"""),"TODO EL AÑO")</f>
        <v>TODO EL AÑO</v>
      </c>
      <c r="K13" s="18"/>
    </row>
    <row r="14">
      <c r="A14" s="18" t="str">
        <f>IFERROR(__xludf.DUMMYFUNCTION("""COMPUTED_VALUE"""),"Compras")</f>
        <v>Compras</v>
      </c>
    </row>
    <row r="15">
      <c r="A15" s="18" t="str">
        <f>IFERROR(__xludf.DUMMYFUNCTION("""COMPUTED_VALUE"""),"Nocturno")</f>
        <v>Nocturno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88"/>
    <col customWidth="1" min="3" max="3" width="15.13"/>
    <col customWidth="1" min="4" max="4" width="26.38"/>
    <col customWidth="1" min="5" max="5" width="38.88"/>
    <col customWidth="1" min="6" max="6" width="35.13"/>
  </cols>
  <sheetData>
    <row r="1" ht="28.5" customHeight="1">
      <c r="A1" s="3" t="s">
        <v>0</v>
      </c>
      <c r="B1" s="5"/>
      <c r="C1" s="5"/>
      <c r="D1" s="5"/>
      <c r="E1" s="5"/>
      <c r="F1" s="8"/>
    </row>
    <row r="2" ht="21.0" customHeight="1">
      <c r="A2" s="12" t="s">
        <v>3</v>
      </c>
      <c r="B2" s="13"/>
      <c r="C2" s="13"/>
      <c r="D2" s="13"/>
      <c r="E2" s="13"/>
      <c r="F2" s="15"/>
    </row>
    <row r="3" ht="21.0" customHeight="1">
      <c r="A3" s="16" t="s">
        <v>5</v>
      </c>
      <c r="B3" s="17" t="s">
        <v>6</v>
      </c>
      <c r="C3" s="19" t="s">
        <v>8</v>
      </c>
      <c r="D3" s="37" t="s">
        <v>18</v>
      </c>
      <c r="E3" s="38" t="s">
        <v>19</v>
      </c>
      <c r="F3" s="40" t="s">
        <v>21</v>
      </c>
    </row>
    <row r="4">
      <c r="A4" s="16" t="s">
        <v>22</v>
      </c>
      <c r="B4" s="41" t="s">
        <v>23</v>
      </c>
      <c r="C4" s="19" t="s">
        <v>20</v>
      </c>
      <c r="D4" s="37" t="s">
        <v>24</v>
      </c>
      <c r="E4" s="38" t="s">
        <v>25</v>
      </c>
      <c r="F4" s="40" t="s">
        <v>26</v>
      </c>
    </row>
    <row r="5" ht="27.0" customHeight="1">
      <c r="A5" s="42" t="s">
        <v>27</v>
      </c>
      <c r="B5" s="43" t="s">
        <v>28</v>
      </c>
      <c r="C5" s="38" t="s">
        <v>29</v>
      </c>
      <c r="D5" s="37" t="s">
        <v>30</v>
      </c>
      <c r="E5" s="38" t="s">
        <v>31</v>
      </c>
      <c r="F5" s="40" t="s">
        <v>32</v>
      </c>
    </row>
    <row r="6" ht="24.0" customHeight="1">
      <c r="A6" s="42" t="s">
        <v>33</v>
      </c>
      <c r="B6" s="46" t="s">
        <v>34</v>
      </c>
      <c r="C6" s="13"/>
      <c r="D6" s="13"/>
      <c r="E6" s="13"/>
      <c r="F6" s="15"/>
    </row>
    <row r="7" ht="21.0" customHeight="1">
      <c r="A7" s="12" t="s">
        <v>35</v>
      </c>
      <c r="B7" s="13"/>
      <c r="C7" s="13"/>
      <c r="D7" s="13"/>
      <c r="E7" s="13"/>
      <c r="F7" s="15"/>
    </row>
    <row r="8" ht="31.5" customHeight="1">
      <c r="A8" s="42" t="s">
        <v>36</v>
      </c>
      <c r="B8" s="46" t="s">
        <v>37</v>
      </c>
      <c r="C8" s="13"/>
      <c r="D8" s="13"/>
      <c r="E8" s="13"/>
      <c r="F8" s="15"/>
    </row>
    <row r="9" ht="45.0" customHeight="1">
      <c r="A9" s="42" t="s">
        <v>38</v>
      </c>
      <c r="B9" s="46" t="s">
        <v>39</v>
      </c>
      <c r="C9" s="13"/>
      <c r="D9" s="13"/>
      <c r="E9" s="13"/>
      <c r="F9" s="15"/>
    </row>
    <row r="10" ht="22.5" customHeight="1">
      <c r="A10" s="48" t="s">
        <v>41</v>
      </c>
      <c r="B10" s="13"/>
      <c r="C10" s="13"/>
      <c r="D10" s="13"/>
      <c r="E10" s="13"/>
      <c r="F10" s="15"/>
    </row>
    <row r="11" ht="21.0" customHeight="1">
      <c r="A11" s="12" t="s">
        <v>42</v>
      </c>
      <c r="B11" s="13"/>
      <c r="C11" s="13"/>
      <c r="D11" s="13"/>
      <c r="E11" s="13"/>
      <c r="F11" s="15"/>
    </row>
    <row r="12" ht="24.0" customHeight="1">
      <c r="A12" s="51" t="s">
        <v>43</v>
      </c>
      <c r="B12" s="53" t="s">
        <v>45</v>
      </c>
      <c r="C12" s="53" t="s">
        <v>47</v>
      </c>
      <c r="D12" s="53" t="s">
        <v>48</v>
      </c>
      <c r="E12" s="53" t="s">
        <v>49</v>
      </c>
      <c r="F12" s="55" t="s">
        <v>50</v>
      </c>
    </row>
    <row r="13" ht="48.75" customHeight="1">
      <c r="A13" s="56">
        <v>1.0</v>
      </c>
      <c r="B13" s="37" t="s">
        <v>52</v>
      </c>
      <c r="C13" s="57" t="s">
        <v>53</v>
      </c>
      <c r="D13" s="37" t="s">
        <v>55</v>
      </c>
      <c r="E13" s="37" t="s">
        <v>56</v>
      </c>
      <c r="F13" s="40" t="s">
        <v>57</v>
      </c>
    </row>
    <row r="14" ht="48.75" customHeight="1">
      <c r="A14" s="58">
        <v>2.0</v>
      </c>
      <c r="B14" s="59" t="s">
        <v>58</v>
      </c>
      <c r="C14" s="60" t="s">
        <v>59</v>
      </c>
      <c r="D14" s="59" t="s">
        <v>60</v>
      </c>
      <c r="E14" s="59" t="s">
        <v>61</v>
      </c>
      <c r="F14" s="61" t="s">
        <v>62</v>
      </c>
    </row>
    <row r="15" ht="48.75" customHeight="1">
      <c r="A15" s="56">
        <v>3.0</v>
      </c>
      <c r="B15" s="37" t="s">
        <v>63</v>
      </c>
      <c r="C15" s="57" t="s">
        <v>64</v>
      </c>
      <c r="D15" s="37" t="s">
        <v>65</v>
      </c>
      <c r="E15" s="37" t="s">
        <v>66</v>
      </c>
      <c r="F15" s="40" t="s">
        <v>67</v>
      </c>
    </row>
    <row r="16" ht="48.75" customHeight="1">
      <c r="A16" s="62">
        <v>4.0</v>
      </c>
      <c r="B16" s="63" t="s">
        <v>69</v>
      </c>
      <c r="C16" s="64" t="s">
        <v>70</v>
      </c>
      <c r="D16" s="63" t="s">
        <v>71</v>
      </c>
      <c r="E16" s="63" t="s">
        <v>72</v>
      </c>
      <c r="F16" s="65" t="s">
        <v>73</v>
      </c>
    </row>
    <row r="18">
      <c r="A18" s="67" t="s">
        <v>74</v>
      </c>
      <c r="B18" s="5"/>
      <c r="C18" s="5"/>
      <c r="D18" s="5"/>
      <c r="E18" s="5"/>
      <c r="F18" s="8"/>
    </row>
    <row r="19">
      <c r="A19" s="68" t="s">
        <v>77</v>
      </c>
      <c r="B19" s="37" t="s">
        <v>78</v>
      </c>
      <c r="C19" s="69" t="s">
        <v>79</v>
      </c>
      <c r="D19" s="70" t="s">
        <v>80</v>
      </c>
      <c r="E19" s="69" t="s">
        <v>81</v>
      </c>
      <c r="F19" s="71" t="s">
        <v>82</v>
      </c>
    </row>
    <row r="20">
      <c r="A20" s="68" t="s">
        <v>83</v>
      </c>
      <c r="B20" s="37" t="s">
        <v>84</v>
      </c>
      <c r="C20" s="69" t="s">
        <v>85</v>
      </c>
      <c r="D20" s="37" t="s">
        <v>86</v>
      </c>
      <c r="E20" s="69" t="s">
        <v>87</v>
      </c>
      <c r="F20" s="40" t="s">
        <v>88</v>
      </c>
    </row>
    <row r="21">
      <c r="A21" s="68" t="s">
        <v>89</v>
      </c>
      <c r="B21" s="37" t="s">
        <v>90</v>
      </c>
      <c r="C21" s="69" t="s">
        <v>91</v>
      </c>
      <c r="D21" s="37" t="s">
        <v>92</v>
      </c>
      <c r="E21" s="69" t="s">
        <v>93</v>
      </c>
      <c r="F21" s="40" t="s">
        <v>94</v>
      </c>
    </row>
    <row r="22">
      <c r="A22" s="68" t="s">
        <v>95</v>
      </c>
      <c r="B22" s="37" t="s">
        <v>96</v>
      </c>
      <c r="C22" s="69" t="s">
        <v>97</v>
      </c>
      <c r="D22" s="37" t="s">
        <v>98</v>
      </c>
      <c r="E22" s="69" t="s">
        <v>99</v>
      </c>
      <c r="F22" s="40" t="s">
        <v>100</v>
      </c>
    </row>
    <row r="23">
      <c r="A23" s="74" t="s">
        <v>101</v>
      </c>
      <c r="B23" s="75" t="s">
        <v>102</v>
      </c>
      <c r="C23" s="76"/>
      <c r="D23" s="76"/>
      <c r="E23" s="76"/>
      <c r="F23" s="77"/>
    </row>
    <row r="24">
      <c r="A24" s="79"/>
      <c r="B24" s="79"/>
      <c r="C24" s="79"/>
      <c r="D24" s="79"/>
      <c r="E24" s="79"/>
      <c r="F24" s="79"/>
    </row>
    <row r="25">
      <c r="A25" s="67" t="s">
        <v>104</v>
      </c>
      <c r="B25" s="5"/>
      <c r="C25" s="5"/>
      <c r="D25" s="5"/>
      <c r="E25" s="5"/>
      <c r="F25" s="8"/>
    </row>
    <row r="26">
      <c r="A26" s="68" t="s">
        <v>106</v>
      </c>
      <c r="B26" s="37" t="s">
        <v>108</v>
      </c>
      <c r="C26" s="69" t="s">
        <v>110</v>
      </c>
      <c r="D26" s="37" t="s">
        <v>111</v>
      </c>
      <c r="E26" s="69" t="s">
        <v>112</v>
      </c>
      <c r="F26" s="40" t="s">
        <v>113</v>
      </c>
    </row>
    <row r="27">
      <c r="A27" s="68" t="s">
        <v>114</v>
      </c>
      <c r="B27" s="37" t="s">
        <v>115</v>
      </c>
      <c r="C27" s="69" t="s">
        <v>116</v>
      </c>
      <c r="D27" s="37" t="s">
        <v>117</v>
      </c>
      <c r="E27" s="69" t="s">
        <v>118</v>
      </c>
      <c r="F27" s="40" t="s">
        <v>119</v>
      </c>
    </row>
    <row r="28">
      <c r="A28" s="74" t="s">
        <v>120</v>
      </c>
      <c r="B28" s="75" t="s">
        <v>121</v>
      </c>
      <c r="C28" s="76"/>
      <c r="D28" s="76"/>
      <c r="E28" s="76"/>
      <c r="F28" s="77"/>
    </row>
    <row r="29">
      <c r="A29" s="79"/>
      <c r="B29" s="79"/>
      <c r="C29" s="79"/>
      <c r="D29" s="79"/>
      <c r="E29" s="79"/>
      <c r="F29" s="79"/>
    </row>
    <row r="30">
      <c r="A30" s="67" t="s">
        <v>122</v>
      </c>
      <c r="B30" s="5"/>
      <c r="C30" s="5"/>
      <c r="D30" s="5"/>
      <c r="E30" s="5"/>
      <c r="F30" s="8"/>
    </row>
    <row r="31">
      <c r="A31" s="68" t="s">
        <v>123</v>
      </c>
      <c r="B31" s="46" t="s">
        <v>124</v>
      </c>
      <c r="C31" s="13"/>
      <c r="D31" s="13"/>
      <c r="E31" s="13"/>
      <c r="F31" s="15"/>
    </row>
    <row r="32">
      <c r="A32" s="68" t="s">
        <v>128</v>
      </c>
      <c r="B32" s="86" t="s">
        <v>131</v>
      </c>
      <c r="C32" s="69" t="s">
        <v>133</v>
      </c>
      <c r="D32" s="86" t="s">
        <v>135</v>
      </c>
      <c r="E32" s="13"/>
      <c r="F32" s="15"/>
    </row>
    <row r="33">
      <c r="A33" s="68" t="s">
        <v>137</v>
      </c>
      <c r="B33" s="37" t="s">
        <v>138</v>
      </c>
      <c r="C33" s="69" t="s">
        <v>139</v>
      </c>
      <c r="D33" s="37" t="s">
        <v>140</v>
      </c>
      <c r="E33" s="69" t="s">
        <v>141</v>
      </c>
      <c r="F33" s="40" t="s">
        <v>142</v>
      </c>
    </row>
    <row r="34">
      <c r="A34" s="68" t="s">
        <v>143</v>
      </c>
      <c r="B34" s="37" t="s">
        <v>144</v>
      </c>
      <c r="C34" s="69" t="s">
        <v>145</v>
      </c>
      <c r="D34" s="37" t="s">
        <v>147</v>
      </c>
      <c r="E34" s="69" t="s">
        <v>141</v>
      </c>
      <c r="F34" s="40" t="s">
        <v>148</v>
      </c>
    </row>
    <row r="35">
      <c r="A35" s="68" t="s">
        <v>149</v>
      </c>
      <c r="B35" s="37" t="s">
        <v>150</v>
      </c>
      <c r="C35" s="69" t="s">
        <v>151</v>
      </c>
      <c r="D35" s="46" t="s">
        <v>152</v>
      </c>
      <c r="E35" s="13"/>
      <c r="F35" s="15"/>
    </row>
    <row r="36">
      <c r="A36" s="74" t="s">
        <v>153</v>
      </c>
      <c r="B36" s="75" t="s">
        <v>154</v>
      </c>
      <c r="C36" s="76"/>
      <c r="D36" s="76"/>
      <c r="E36" s="76"/>
      <c r="F36" s="77"/>
    </row>
  </sheetData>
  <mergeCells count="17">
    <mergeCell ref="A1:F1"/>
    <mergeCell ref="A2:F2"/>
    <mergeCell ref="B6:F6"/>
    <mergeCell ref="A7:F7"/>
    <mergeCell ref="B8:F8"/>
    <mergeCell ref="B9:F9"/>
    <mergeCell ref="A10:F10"/>
    <mergeCell ref="D32:F32"/>
    <mergeCell ref="D35:F35"/>
    <mergeCell ref="B36:F36"/>
    <mergeCell ref="A11:F11"/>
    <mergeCell ref="A18:F18"/>
    <mergeCell ref="B23:F23"/>
    <mergeCell ref="A25:F25"/>
    <mergeCell ref="B28:F28"/>
    <mergeCell ref="A30:F30"/>
    <mergeCell ref="B31:F31"/>
  </mergeCells>
  <dataValidations>
    <dataValidation type="list" allowBlank="1" showErrorMessage="1" sqref="B26">
      <formula1>"Guia Nacional,Guia Local"</formula1>
    </dataValidation>
    <dataValidation type="list" allowBlank="1" sqref="D3">
      <formula1>'DB CONECTOR'!$C$1:$C$5</formula1>
    </dataValidation>
    <dataValidation type="list" allowBlank="1" showErrorMessage="1" sqref="D5">
      <formula1>"Excursión Diurna,Parque Nacional,Ruinas Arqueologicas,Museo,Mirador,Gastronomia Local,Walking  Tour"</formula1>
    </dataValidation>
    <dataValidation type="list" allowBlank="1" showErrorMessage="1" sqref="B32">
      <formula1>"CLARO,CLARO (vía principal),TIGO,TIGO (vía principal),CNT,CNT (vía principal)"</formula1>
    </dataValidation>
    <dataValidation type="list" allowBlank="1" sqref="F3">
      <formula1>'DB CONECTOR'!$K$1:$K$4</formula1>
    </dataValidation>
    <dataValidation type="list" allowBlank="1" sqref="F5">
      <formula1>'DB CONECTOR'!$E$1:$E$6</formula1>
    </dataValidation>
    <dataValidation type="list" allowBlank="1" showErrorMessage="1" sqref="B27">
      <formula1>"Español,Ingles"</formula1>
    </dataValidation>
    <dataValidation type="list" allowBlank="1" sqref="D4">
      <formula1>'DB CONECTOR'!$A$1:$A$15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2" max="2" width="35.13"/>
    <col customWidth="1" min="3" max="3" width="28.88"/>
    <col customWidth="1" min="4" max="4" width="26.38"/>
    <col customWidth="1" min="5" max="5" width="2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2" t="s">
        <v>7</v>
      </c>
      <c r="B2" s="23"/>
      <c r="C2" s="23"/>
      <c r="D2" s="23"/>
      <c r="E2" s="24"/>
      <c r="F2" s="1"/>
      <c r="G2" s="1"/>
      <c r="H2" s="1"/>
      <c r="I2" s="1"/>
      <c r="J2" s="1"/>
      <c r="K2" s="1"/>
      <c r="L2" s="1"/>
      <c r="M2" s="1"/>
      <c r="N2" s="1"/>
    </row>
    <row r="3">
      <c r="A3" s="27" t="s">
        <v>9</v>
      </c>
      <c r="B3" s="30" t="str">
        <f>CONCATENATE(B6," ",B7)</f>
        <v>NAT-006 Paute: Dinosaurios, Naturaleza y Sabores</v>
      </c>
      <c r="C3" s="27" t="s">
        <v>12</v>
      </c>
      <c r="D3" s="32" t="s">
        <v>13</v>
      </c>
      <c r="E3" s="34" t="s">
        <v>15</v>
      </c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35" t="s">
        <v>16</v>
      </c>
      <c r="B5" s="23"/>
      <c r="C5" s="23"/>
      <c r="D5" s="23"/>
      <c r="E5" s="24"/>
      <c r="F5" s="1"/>
      <c r="G5" s="1"/>
      <c r="H5" s="1"/>
      <c r="I5" s="1"/>
      <c r="J5" s="1"/>
      <c r="K5" s="1"/>
      <c r="L5" s="1"/>
      <c r="M5" s="1"/>
      <c r="N5" s="1"/>
    </row>
    <row r="6">
      <c r="A6" s="36" t="s">
        <v>17</v>
      </c>
      <c r="B6" s="34" t="str">
        <f>'FICHA TÉCNICA'!B3</f>
        <v>NAT-006</v>
      </c>
      <c r="C6" s="36" t="s">
        <v>20</v>
      </c>
      <c r="D6" s="44" t="str">
        <f>'FICHA TÉCNICA'!D4</f>
        <v>Naturaleza, Gastronomía</v>
      </c>
      <c r="E6" s="45"/>
      <c r="F6" s="1"/>
      <c r="G6" s="1"/>
      <c r="H6" s="1"/>
      <c r="I6" s="1"/>
      <c r="J6" s="1"/>
      <c r="K6" s="1"/>
      <c r="L6" s="1"/>
      <c r="M6" s="1"/>
      <c r="N6" s="1"/>
    </row>
    <row r="7">
      <c r="A7" s="36" t="s">
        <v>22</v>
      </c>
      <c r="B7" s="30" t="str">
        <f>'FICHA TÉCNICA'!B4</f>
        <v>Paute: Dinosaurios, Naturaleza y Sabores</v>
      </c>
      <c r="C7" s="36" t="s">
        <v>8</v>
      </c>
      <c r="D7" s="47" t="str">
        <f>'FICHA TÉCNICA'!D3</f>
        <v>Intermedio</v>
      </c>
      <c r="E7" s="45"/>
      <c r="F7" s="1"/>
      <c r="G7" s="1"/>
      <c r="H7" s="1"/>
      <c r="I7" s="1"/>
      <c r="J7" s="1"/>
      <c r="K7" s="1"/>
      <c r="L7" s="1"/>
      <c r="M7" s="1"/>
      <c r="N7" s="1"/>
    </row>
    <row r="8">
      <c r="A8" s="36" t="s">
        <v>40</v>
      </c>
      <c r="B8" s="49" t="str">
        <f>'FICHA TÉCNICA'!B8</f>
        <v>Aventura familiar de medio día (4 horas) desde Cuenca con salida a las 08:30 hacia el valle de Paute. Incluye Jurassic Paute, Animal Paute, el Parque Lineal y la Cuchara de Palo más grande del mundo por una tarifa de $35 USD por pasajero.</v>
      </c>
      <c r="C8" s="50"/>
      <c r="D8" s="50"/>
      <c r="E8" s="45"/>
      <c r="F8" s="1"/>
      <c r="G8" s="1"/>
      <c r="H8" s="1"/>
      <c r="I8" s="1"/>
      <c r="J8" s="1"/>
      <c r="K8" s="1"/>
      <c r="L8" s="1"/>
      <c r="M8" s="1"/>
      <c r="N8" s="1"/>
    </row>
    <row r="9">
      <c r="A9" s="52" t="s">
        <v>44</v>
      </c>
      <c r="B9" s="34" t="str">
        <f>'FICHA TÉCNICA'!F3</f>
        <v>4 Horas</v>
      </c>
      <c r="C9" s="36" t="s">
        <v>54</v>
      </c>
      <c r="D9" s="44" t="str">
        <f>'FICHA TÉCNICA'!F5</f>
        <v>Familias, Fotografos, Grupos</v>
      </c>
      <c r="E9" s="45"/>
      <c r="F9" s="1"/>
      <c r="G9" s="1"/>
      <c r="H9" s="1"/>
      <c r="I9" s="1"/>
      <c r="J9" s="1"/>
      <c r="K9" s="1"/>
      <c r="L9" s="1"/>
      <c r="M9" s="1"/>
      <c r="N9" s="1"/>
    </row>
    <row r="10">
      <c r="A10" s="36" t="s">
        <v>68</v>
      </c>
      <c r="B10" s="66" t="s">
        <v>75</v>
      </c>
      <c r="C10" s="36" t="s">
        <v>76</v>
      </c>
      <c r="D10" s="72" t="str">
        <f>'FICHA TÉCNICA'!$B$27</f>
        <v>Español</v>
      </c>
      <c r="E10" s="45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78" t="s">
        <v>103</v>
      </c>
      <c r="B12" s="50"/>
      <c r="C12" s="50"/>
      <c r="D12" s="50"/>
      <c r="E12" s="45"/>
      <c r="F12" s="1"/>
      <c r="G12" s="1"/>
      <c r="H12" s="1"/>
      <c r="I12" s="1"/>
      <c r="J12" s="1"/>
      <c r="K12" s="1"/>
      <c r="L12" s="1"/>
      <c r="M12" s="1"/>
      <c r="N12" s="1"/>
    </row>
    <row r="13">
      <c r="A13" s="36" t="s">
        <v>105</v>
      </c>
      <c r="B13" s="80" t="s">
        <v>107</v>
      </c>
      <c r="C13" s="81" t="s">
        <v>109</v>
      </c>
      <c r="D13" s="82" t="s">
        <v>107</v>
      </c>
      <c r="E13" s="45"/>
      <c r="F13" s="1"/>
      <c r="G13" s="1"/>
      <c r="H13" s="1"/>
      <c r="I13" s="1"/>
      <c r="J13" s="1"/>
      <c r="K13" s="1"/>
      <c r="L13" s="1"/>
      <c r="M13" s="1"/>
      <c r="N13" s="1"/>
    </row>
    <row r="14">
      <c r="A14" s="36" t="s">
        <v>125</v>
      </c>
      <c r="B14" s="80" t="s">
        <v>126</v>
      </c>
      <c r="C14" s="83" t="s">
        <v>127</v>
      </c>
      <c r="D14" s="84" t="s">
        <v>129</v>
      </c>
      <c r="E14" s="45"/>
      <c r="F14" s="1"/>
      <c r="G14" s="1"/>
      <c r="H14" s="1"/>
      <c r="I14" s="1"/>
      <c r="J14" s="1"/>
      <c r="K14" s="1"/>
      <c r="L14" s="1"/>
      <c r="M14" s="1"/>
      <c r="N14" s="1"/>
    </row>
    <row r="15">
      <c r="A15" s="36" t="s">
        <v>130</v>
      </c>
      <c r="B15" s="85" t="s">
        <v>132</v>
      </c>
      <c r="C15" s="87" t="s">
        <v>134</v>
      </c>
      <c r="D15" s="88" t="s">
        <v>136</v>
      </c>
      <c r="E15" s="45"/>
      <c r="F15" s="1"/>
      <c r="G15" s="1"/>
      <c r="H15" s="1"/>
      <c r="I15" s="1"/>
      <c r="J15" s="1"/>
      <c r="K15" s="1"/>
      <c r="L15" s="1"/>
      <c r="M15" s="1"/>
      <c r="N15" s="1"/>
    </row>
    <row r="16">
      <c r="A16" s="36" t="s">
        <v>146</v>
      </c>
      <c r="B16" s="49" t="str">
        <f>'FICHA TÉCNICA'!B6</f>
        <v>Jurassic Paute, Animal Paute, Parque Lineal y Monumento La Cuchara de Palo</v>
      </c>
      <c r="C16" s="50"/>
      <c r="D16" s="50"/>
      <c r="E16" s="45"/>
      <c r="F16" s="1"/>
      <c r="G16" s="1"/>
      <c r="H16" s="1"/>
      <c r="I16" s="1"/>
      <c r="J16" s="1"/>
      <c r="K16" s="1"/>
      <c r="L16" s="1"/>
      <c r="M16" s="1"/>
      <c r="N16" s="1"/>
    </row>
    <row r="17">
      <c r="A17" s="81" t="s">
        <v>155</v>
      </c>
      <c r="B17" s="80" t="s">
        <v>156</v>
      </c>
      <c r="C17" s="36" t="s">
        <v>157</v>
      </c>
      <c r="D17" s="84" t="s">
        <v>158</v>
      </c>
      <c r="E17" s="45"/>
      <c r="F17" s="1"/>
      <c r="G17" s="1"/>
      <c r="H17" s="1"/>
      <c r="I17" s="1"/>
      <c r="J17" s="1"/>
      <c r="K17" s="1"/>
      <c r="L17" s="1"/>
      <c r="M17" s="1"/>
      <c r="N17" s="1"/>
    </row>
    <row r="18">
      <c r="A18" s="89" t="s">
        <v>159</v>
      </c>
      <c r="B18" s="90" t="s">
        <v>160</v>
      </c>
      <c r="C18" s="50"/>
      <c r="D18" s="50"/>
      <c r="E18" s="45"/>
      <c r="F18" s="1"/>
      <c r="G18" s="1"/>
      <c r="H18" s="1"/>
      <c r="I18" s="1"/>
      <c r="J18" s="1"/>
      <c r="K18" s="1"/>
      <c r="L18" s="1"/>
      <c r="M18" s="1"/>
      <c r="N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91" t="s">
        <v>161</v>
      </c>
      <c r="F20" s="1"/>
      <c r="G20" s="1"/>
      <c r="H20" s="1"/>
      <c r="I20" s="1"/>
      <c r="J20" s="1"/>
      <c r="K20" s="1"/>
      <c r="L20" s="1"/>
      <c r="M20" s="1"/>
      <c r="N20" s="1"/>
    </row>
    <row r="21">
      <c r="A21" s="92" t="s">
        <v>19</v>
      </c>
      <c r="B21" s="93" t="s">
        <v>162</v>
      </c>
      <c r="C21" s="94"/>
      <c r="D21" s="95" t="s">
        <v>163</v>
      </c>
      <c r="E21" s="96" t="s">
        <v>164</v>
      </c>
      <c r="F21" s="1"/>
      <c r="G21" s="1"/>
      <c r="H21" s="1"/>
      <c r="I21" s="1"/>
      <c r="J21" s="1"/>
      <c r="K21" s="1"/>
      <c r="L21" s="1"/>
      <c r="M21" s="1"/>
      <c r="N21" s="1"/>
    </row>
    <row r="22">
      <c r="A22" s="97" t="s">
        <v>165</v>
      </c>
      <c r="B22" s="98" t="s">
        <v>166</v>
      </c>
      <c r="C22" s="99"/>
      <c r="D22" s="100" t="s">
        <v>107</v>
      </c>
      <c r="E22" s="100" t="s">
        <v>167</v>
      </c>
      <c r="F22" s="1"/>
      <c r="G22" s="1"/>
      <c r="H22" s="1"/>
      <c r="I22" s="1"/>
      <c r="J22" s="1"/>
      <c r="K22" s="1"/>
      <c r="L22" s="1"/>
      <c r="M22" s="1"/>
      <c r="N22" s="1"/>
    </row>
    <row r="23">
      <c r="A23" s="101" t="s">
        <v>168</v>
      </c>
      <c r="B23" s="102" t="s">
        <v>169</v>
      </c>
      <c r="C23" s="103"/>
      <c r="D23" s="104" t="s">
        <v>170</v>
      </c>
      <c r="E23" s="104" t="s">
        <v>171</v>
      </c>
      <c r="F23" s="1"/>
      <c r="G23" s="1"/>
      <c r="H23" s="1"/>
      <c r="I23" s="1"/>
      <c r="J23" s="1"/>
      <c r="K23" s="1"/>
      <c r="L23" s="1"/>
      <c r="M23" s="1"/>
      <c r="N23" s="1"/>
    </row>
    <row r="24">
      <c r="A24" s="97" t="s">
        <v>168</v>
      </c>
      <c r="B24" s="98" t="s">
        <v>172</v>
      </c>
      <c r="C24" s="99"/>
      <c r="D24" s="100" t="s">
        <v>173</v>
      </c>
      <c r="E24" s="100" t="s">
        <v>174</v>
      </c>
      <c r="F24" s="1"/>
      <c r="G24" s="1"/>
      <c r="H24" s="1"/>
      <c r="I24" s="1"/>
      <c r="J24" s="1"/>
      <c r="K24" s="1"/>
      <c r="L24" s="1"/>
      <c r="M24" s="1"/>
      <c r="N24" s="1"/>
    </row>
    <row r="25">
      <c r="A25" s="101" t="s">
        <v>175</v>
      </c>
      <c r="B25" s="102" t="s">
        <v>176</v>
      </c>
      <c r="C25" s="103"/>
      <c r="D25" s="104" t="s">
        <v>63</v>
      </c>
      <c r="E25" s="104" t="s">
        <v>171</v>
      </c>
      <c r="F25" s="1"/>
      <c r="G25" s="1"/>
      <c r="H25" s="1"/>
      <c r="I25" s="1"/>
      <c r="J25" s="1"/>
      <c r="K25" s="1"/>
      <c r="L25" s="1"/>
      <c r="M25" s="1"/>
      <c r="N25" s="1"/>
    </row>
    <row r="26">
      <c r="A26" s="97" t="s">
        <v>175</v>
      </c>
      <c r="B26" s="98" t="s">
        <v>177</v>
      </c>
      <c r="C26" s="99"/>
      <c r="D26" s="100" t="s">
        <v>178</v>
      </c>
      <c r="E26" s="100" t="s">
        <v>171</v>
      </c>
      <c r="F26" s="1"/>
      <c r="G26" s="1"/>
      <c r="H26" s="1"/>
      <c r="I26" s="1"/>
      <c r="J26" s="1"/>
      <c r="K26" s="1"/>
      <c r="L26" s="1"/>
      <c r="M26" s="1"/>
      <c r="N26" s="1"/>
    </row>
    <row r="27">
      <c r="A27" s="101" t="s">
        <v>175</v>
      </c>
      <c r="B27" s="102" t="s">
        <v>179</v>
      </c>
      <c r="C27" s="103"/>
      <c r="D27" s="104" t="s">
        <v>180</v>
      </c>
      <c r="E27" s="104" t="s">
        <v>181</v>
      </c>
      <c r="F27" s="1"/>
      <c r="G27" s="1"/>
      <c r="H27" s="1"/>
      <c r="I27" s="1"/>
      <c r="J27" s="1"/>
      <c r="K27" s="1"/>
      <c r="L27" s="1"/>
      <c r="M27" s="1"/>
      <c r="N27" s="1"/>
    </row>
    <row r="28">
      <c r="A28" s="97" t="s">
        <v>175</v>
      </c>
      <c r="B28" s="98" t="s">
        <v>182</v>
      </c>
      <c r="C28" s="99"/>
      <c r="D28" s="100" t="s">
        <v>183</v>
      </c>
      <c r="E28" s="100" t="s">
        <v>184</v>
      </c>
      <c r="F28" s="1"/>
      <c r="G28" s="1"/>
      <c r="H28" s="1"/>
      <c r="I28" s="1"/>
      <c r="J28" s="1"/>
      <c r="K28" s="1"/>
      <c r="L28" s="1"/>
      <c r="M28" s="1"/>
      <c r="N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A30" s="105" t="s">
        <v>185</v>
      </c>
      <c r="F30" s="1"/>
      <c r="G30" s="1"/>
      <c r="H30" s="1"/>
      <c r="I30" s="1"/>
      <c r="J30" s="1"/>
      <c r="K30" s="1"/>
      <c r="L30" s="1"/>
      <c r="M30" s="1"/>
      <c r="N30" s="1"/>
    </row>
    <row r="31">
      <c r="A31" s="106" t="s">
        <v>186</v>
      </c>
      <c r="B31" s="107" t="s">
        <v>187</v>
      </c>
      <c r="C31" s="108"/>
      <c r="D31" s="107" t="s">
        <v>188</v>
      </c>
      <c r="E31" s="24"/>
      <c r="F31" s="1"/>
      <c r="G31" s="1"/>
      <c r="H31" s="1"/>
      <c r="I31" s="1"/>
      <c r="J31" s="1"/>
      <c r="K31" s="1"/>
      <c r="L31" s="1"/>
      <c r="M31" s="1"/>
      <c r="N31" s="1"/>
    </row>
    <row r="32">
      <c r="A32" s="109" t="s">
        <v>189</v>
      </c>
      <c r="B32" s="110" t="s">
        <v>190</v>
      </c>
      <c r="C32" s="45"/>
      <c r="D32" s="110" t="s">
        <v>191</v>
      </c>
      <c r="E32" s="45"/>
      <c r="F32" s="1"/>
      <c r="G32" s="1"/>
      <c r="H32" s="1"/>
      <c r="I32" s="1"/>
      <c r="J32" s="1"/>
      <c r="K32" s="1"/>
      <c r="L32" s="1"/>
      <c r="M32" s="1"/>
      <c r="N32" s="1"/>
    </row>
    <row r="33">
      <c r="A33" s="109" t="s">
        <v>192</v>
      </c>
      <c r="B33" s="110" t="s">
        <v>193</v>
      </c>
      <c r="C33" s="45"/>
      <c r="D33" s="110" t="s">
        <v>194</v>
      </c>
      <c r="E33" s="45"/>
      <c r="F33" s="1"/>
      <c r="G33" s="1"/>
      <c r="H33" s="1"/>
      <c r="I33" s="1"/>
      <c r="J33" s="1"/>
      <c r="K33" s="1"/>
      <c r="L33" s="1"/>
      <c r="M33" s="1"/>
      <c r="N33" s="1"/>
    </row>
    <row r="34">
      <c r="A34" s="109" t="s">
        <v>195</v>
      </c>
      <c r="B34" s="110" t="s">
        <v>196</v>
      </c>
      <c r="C34" s="45"/>
      <c r="D34" s="110" t="s">
        <v>197</v>
      </c>
      <c r="E34" s="45"/>
      <c r="F34" s="1"/>
      <c r="G34" s="1"/>
      <c r="H34" s="1"/>
      <c r="I34" s="1"/>
      <c r="J34" s="1"/>
      <c r="K34" s="1"/>
      <c r="L34" s="1"/>
      <c r="M34" s="1"/>
      <c r="N34" s="1"/>
    </row>
    <row r="35">
      <c r="A35" s="109" t="s">
        <v>198</v>
      </c>
      <c r="B35" s="110" t="s">
        <v>199</v>
      </c>
      <c r="C35" s="45"/>
      <c r="D35" s="110" t="s">
        <v>200</v>
      </c>
      <c r="E35" s="45"/>
      <c r="F35" s="1"/>
      <c r="G35" s="1"/>
      <c r="H35" s="1"/>
      <c r="I35" s="1"/>
      <c r="J35" s="1"/>
      <c r="K35" s="1"/>
      <c r="L35" s="1"/>
      <c r="M35" s="1"/>
      <c r="N35" s="1"/>
    </row>
    <row r="36">
      <c r="A36" s="109" t="s">
        <v>201</v>
      </c>
      <c r="B36" s="110" t="s">
        <v>202</v>
      </c>
      <c r="C36" s="45"/>
      <c r="D36" s="110" t="s">
        <v>203</v>
      </c>
      <c r="E36" s="45"/>
      <c r="F36" s="1"/>
      <c r="G36" s="1"/>
      <c r="H36" s="1"/>
      <c r="I36" s="1"/>
      <c r="J36" s="1"/>
      <c r="K36" s="1"/>
      <c r="L36" s="1"/>
      <c r="M36" s="1"/>
      <c r="N36" s="1"/>
    </row>
    <row r="37">
      <c r="A37" s="109" t="s">
        <v>204</v>
      </c>
      <c r="B37" s="110" t="s">
        <v>205</v>
      </c>
      <c r="C37" s="45"/>
      <c r="D37" s="110" t="s">
        <v>206</v>
      </c>
      <c r="E37" s="45"/>
      <c r="F37" s="1"/>
      <c r="G37" s="1"/>
      <c r="H37" s="1"/>
      <c r="I37" s="1"/>
      <c r="J37" s="1"/>
      <c r="K37" s="1"/>
      <c r="L37" s="1"/>
      <c r="M37" s="1"/>
      <c r="N37" s="1"/>
    </row>
    <row r="38">
      <c r="A38" s="109" t="s">
        <v>207</v>
      </c>
      <c r="B38" s="110" t="s">
        <v>208</v>
      </c>
      <c r="C38" s="45"/>
      <c r="D38" s="110" t="s">
        <v>209</v>
      </c>
      <c r="E38" s="45"/>
      <c r="F38" s="1"/>
      <c r="G38" s="1"/>
      <c r="H38" s="1"/>
      <c r="I38" s="1"/>
      <c r="J38" s="1"/>
      <c r="K38" s="1"/>
      <c r="L38" s="1"/>
      <c r="M38" s="1"/>
      <c r="N38" s="1"/>
    </row>
    <row r="39">
      <c r="A39" s="111"/>
      <c r="B39" s="111"/>
      <c r="C39" s="111"/>
      <c r="D39" s="111"/>
      <c r="E39" s="111"/>
      <c r="F39" s="1"/>
      <c r="G39" s="1"/>
      <c r="H39" s="1"/>
      <c r="I39" s="1"/>
      <c r="J39" s="1"/>
      <c r="K39" s="1"/>
      <c r="L39" s="1"/>
      <c r="M39" s="1"/>
      <c r="N39" s="1"/>
    </row>
    <row r="40">
      <c r="A40" s="91" t="s">
        <v>210</v>
      </c>
      <c r="F40" s="1"/>
      <c r="G40" s="1"/>
      <c r="H40" s="1"/>
      <c r="I40" s="1"/>
      <c r="J40" s="1"/>
      <c r="K40" s="1"/>
      <c r="L40" s="1"/>
      <c r="M40" s="1"/>
      <c r="N40" s="1"/>
    </row>
    <row r="41">
      <c r="A41" s="112" t="s">
        <v>211</v>
      </c>
      <c r="B41" s="113"/>
      <c r="C41" s="114" t="s">
        <v>212</v>
      </c>
      <c r="D41" s="115"/>
      <c r="E41" s="116"/>
      <c r="F41" s="1"/>
      <c r="G41" s="1"/>
      <c r="H41" s="1"/>
      <c r="I41" s="1"/>
      <c r="J41" s="1"/>
      <c r="K41" s="1"/>
      <c r="L41" s="1"/>
      <c r="M41" s="1"/>
      <c r="N41" s="1"/>
    </row>
    <row r="42">
      <c r="A42" s="118" t="s">
        <v>214</v>
      </c>
      <c r="B42" s="119"/>
      <c r="C42" s="120" t="s">
        <v>216</v>
      </c>
      <c r="D42" s="121"/>
      <c r="E42" s="122"/>
      <c r="F42" s="1"/>
      <c r="G42" s="1"/>
      <c r="H42" s="1"/>
      <c r="I42" s="1"/>
      <c r="J42" s="1"/>
      <c r="K42" s="1"/>
      <c r="L42" s="1"/>
      <c r="M42" s="1"/>
      <c r="N42" s="1"/>
    </row>
    <row r="43">
      <c r="A43" s="118" t="s">
        <v>217</v>
      </c>
      <c r="B43" s="119"/>
      <c r="C43" s="120" t="s">
        <v>218</v>
      </c>
      <c r="D43" s="121"/>
      <c r="E43" s="122"/>
      <c r="F43" s="1"/>
      <c r="G43" s="1"/>
      <c r="H43" s="1"/>
      <c r="I43" s="1"/>
      <c r="J43" s="1"/>
      <c r="K43" s="1"/>
      <c r="L43" s="1"/>
      <c r="M43" s="1"/>
      <c r="N43" s="1"/>
    </row>
    <row r="44">
      <c r="A44" s="118" t="s">
        <v>219</v>
      </c>
      <c r="B44" s="119"/>
      <c r="C44" s="120" t="s">
        <v>220</v>
      </c>
      <c r="D44" s="121"/>
      <c r="E44" s="122"/>
      <c r="F44" s="1"/>
      <c r="G44" s="1"/>
      <c r="H44" s="1"/>
      <c r="I44" s="1"/>
      <c r="J44" s="1"/>
      <c r="K44" s="1"/>
      <c r="L44" s="1"/>
      <c r="M44" s="1"/>
      <c r="N44" s="1"/>
    </row>
    <row r="45">
      <c r="A45" s="118" t="s">
        <v>221</v>
      </c>
      <c r="B45" s="119"/>
      <c r="C45" s="120" t="s">
        <v>222</v>
      </c>
      <c r="D45" s="121"/>
      <c r="E45" s="122"/>
      <c r="F45" s="1"/>
      <c r="G45" s="1"/>
      <c r="H45" s="1"/>
      <c r="I45" s="1"/>
      <c r="J45" s="1"/>
      <c r="K45" s="1"/>
      <c r="L45" s="1"/>
      <c r="M45" s="1"/>
      <c r="N45" s="1"/>
    </row>
    <row r="46">
      <c r="A46" s="118" t="s">
        <v>223</v>
      </c>
      <c r="B46" s="119"/>
      <c r="C46" s="120" t="s">
        <v>224</v>
      </c>
      <c r="D46" s="121"/>
      <c r="E46" s="122"/>
      <c r="F46" s="1"/>
      <c r="G46" s="1"/>
      <c r="H46" s="1"/>
      <c r="I46" s="1"/>
      <c r="J46" s="1"/>
      <c r="K46" s="1"/>
      <c r="L46" s="1"/>
      <c r="M46" s="1"/>
      <c r="N46" s="1"/>
    </row>
    <row r="47">
      <c r="A47" s="124" t="s">
        <v>226</v>
      </c>
      <c r="B47" s="125"/>
      <c r="C47" s="126" t="s">
        <v>229</v>
      </c>
      <c r="D47" s="127"/>
      <c r="E47" s="128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A49" s="91" t="s">
        <v>230</v>
      </c>
      <c r="F49" s="1"/>
      <c r="G49" s="1"/>
      <c r="H49" s="1"/>
      <c r="I49" s="1"/>
      <c r="J49" s="1"/>
      <c r="K49" s="1"/>
      <c r="L49" s="1"/>
      <c r="M49" s="1"/>
      <c r="N49" s="1"/>
    </row>
    <row r="50">
      <c r="A50" s="129" t="s">
        <v>231</v>
      </c>
      <c r="B50" s="45"/>
      <c r="C50" s="130" t="s">
        <v>232</v>
      </c>
      <c r="D50" s="50"/>
      <c r="E50" s="45"/>
      <c r="F50" s="1"/>
      <c r="G50" s="1"/>
      <c r="H50" s="1"/>
      <c r="I50" s="1"/>
      <c r="J50" s="1"/>
      <c r="K50" s="1"/>
      <c r="L50" s="1"/>
      <c r="M50" s="1"/>
      <c r="N50" s="1"/>
    </row>
    <row r="51">
      <c r="A51" s="132" t="s">
        <v>235</v>
      </c>
      <c r="B51" s="133" t="s">
        <v>236</v>
      </c>
      <c r="C51" s="134" t="s">
        <v>237</v>
      </c>
      <c r="D51" s="135" t="s">
        <v>238</v>
      </c>
      <c r="E51" s="45"/>
      <c r="F51" s="1"/>
      <c r="G51" s="1"/>
      <c r="H51" s="1"/>
      <c r="I51" s="1"/>
      <c r="J51" s="1"/>
      <c r="K51" s="1"/>
      <c r="L51" s="1"/>
      <c r="M51" s="1"/>
      <c r="N51" s="1"/>
    </row>
    <row r="52">
      <c r="A52" s="132" t="s">
        <v>239</v>
      </c>
      <c r="B52" s="136" t="s">
        <v>240</v>
      </c>
      <c r="C52" s="134" t="s">
        <v>241</v>
      </c>
      <c r="D52" s="135" t="s">
        <v>242</v>
      </c>
      <c r="E52" s="45"/>
      <c r="F52" s="1"/>
      <c r="G52" s="1"/>
      <c r="H52" s="1"/>
      <c r="I52" s="1"/>
      <c r="J52" s="1"/>
      <c r="K52" s="1"/>
      <c r="L52" s="1"/>
      <c r="M52" s="1"/>
      <c r="N52" s="1"/>
    </row>
    <row r="53">
      <c r="A53" s="132" t="s">
        <v>245</v>
      </c>
      <c r="B53" s="136" t="s">
        <v>246</v>
      </c>
      <c r="C53" s="134" t="s">
        <v>247</v>
      </c>
      <c r="D53" s="137" t="s">
        <v>248</v>
      </c>
      <c r="E53" s="45"/>
      <c r="F53" s="1"/>
      <c r="G53" s="1"/>
      <c r="H53" s="1"/>
      <c r="I53" s="1"/>
      <c r="J53" s="1"/>
      <c r="K53" s="1"/>
      <c r="L53" s="1"/>
      <c r="M53" s="1"/>
      <c r="N53" s="1"/>
    </row>
    <row r="54">
      <c r="A54" s="132" t="s">
        <v>249</v>
      </c>
      <c r="B54" s="136" t="s">
        <v>250</v>
      </c>
      <c r="C54" s="134" t="s">
        <v>251</v>
      </c>
      <c r="D54" s="137" t="s">
        <v>252</v>
      </c>
      <c r="E54" s="45"/>
      <c r="F54" s="1"/>
      <c r="G54" s="1"/>
      <c r="H54" s="1"/>
      <c r="I54" s="1"/>
      <c r="J54" s="1"/>
      <c r="K54" s="1"/>
      <c r="L54" s="1"/>
      <c r="M54" s="1"/>
      <c r="N54" s="1"/>
    </row>
    <row r="55">
      <c r="A55" s="138" t="s">
        <v>253</v>
      </c>
      <c r="B55" s="139" t="str">
        <f>HYPERLINK("https://docs.google.com/document/d/11ftLyan4VpP35A24Tx74n6fzUYF9oStnMPPBXkcC-S8/edit?usp=sharing ", "📄 Términos y Condiciones Generales — Cóndor Expeditions")</f>
        <v>📄 Términos y Condiciones Generales — Cóndor Expeditions</v>
      </c>
      <c r="C55" s="50"/>
      <c r="D55" s="50"/>
      <c r="E55" s="45"/>
      <c r="F55" s="1"/>
      <c r="G55" s="1"/>
      <c r="H55" s="1"/>
      <c r="I55" s="1"/>
      <c r="J55" s="1"/>
      <c r="K55" s="1"/>
      <c r="L55" s="1"/>
      <c r="M55" s="1"/>
      <c r="N55" s="1"/>
    </row>
    <row r="56">
      <c r="A56" s="140"/>
      <c r="B56" s="139" t="str">
        <f>HYPERLINK("https://docs.google.com/document/d/1fihekq-ZbTiOhHqYiQWEm4Qlr85WaJYL-Ldxl6wAK_M/edit?usp=drive_link ", "📋 Descargos de Responsabilidad y Consentimiento Informado")</f>
        <v>📋 Descargos de Responsabilidad y Consentimiento Informado</v>
      </c>
      <c r="C56" s="50"/>
      <c r="D56" s="50"/>
      <c r="E56" s="45"/>
      <c r="F56" s="1"/>
      <c r="G56" s="1"/>
      <c r="H56" s="1"/>
      <c r="I56" s="1"/>
      <c r="J56" s="1"/>
      <c r="K56" s="1"/>
      <c r="L56" s="1"/>
      <c r="M56" s="1"/>
      <c r="N56" s="1"/>
    </row>
    <row r="57">
      <c r="A57" s="141"/>
      <c r="B57" s="139" t="str">
        <f>HYPERLINK("https://docs.google.com/document/d/1pUJi99Q705xmkZY9ghkt2TjdDFq1lqaDW19eSm653Dg/edit?usp=drive_link ", "🛡️ Protocolos de Seguridad y Manejo de Emergencias")</f>
        <v>🛡️ Protocolos de Seguridad y Manejo de Emergencias</v>
      </c>
      <c r="C57" s="50"/>
      <c r="D57" s="50"/>
      <c r="E57" s="45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91" t="s">
        <v>261</v>
      </c>
      <c r="F59" s="1"/>
      <c r="G59" s="1"/>
      <c r="H59" s="1"/>
      <c r="I59" s="1"/>
      <c r="J59" s="1"/>
      <c r="K59" s="1"/>
      <c r="L59" s="1"/>
      <c r="M59" s="1"/>
      <c r="N59" s="1"/>
    </row>
    <row r="60">
      <c r="A60" s="142" t="s">
        <v>262</v>
      </c>
      <c r="B60" s="143" t="s">
        <v>263</v>
      </c>
      <c r="C60" s="144" t="s">
        <v>264</v>
      </c>
      <c r="D60" s="113"/>
      <c r="E60" s="145" t="s">
        <v>265</v>
      </c>
      <c r="F60" s="1"/>
      <c r="G60" s="1"/>
      <c r="H60" s="1"/>
      <c r="I60" s="1"/>
      <c r="J60" s="1"/>
      <c r="K60" s="1"/>
      <c r="L60" s="1"/>
      <c r="M60" s="1"/>
      <c r="N60" s="1"/>
    </row>
    <row r="61">
      <c r="A61" s="146" t="s">
        <v>267</v>
      </c>
      <c r="B61" s="147" t="s">
        <v>269</v>
      </c>
      <c r="C61" s="149" t="s">
        <v>270</v>
      </c>
      <c r="D61" s="119"/>
      <c r="E61" s="151" t="s">
        <v>271</v>
      </c>
      <c r="F61" s="1"/>
      <c r="G61" s="1"/>
      <c r="H61" s="1"/>
      <c r="I61" s="1"/>
      <c r="J61" s="1"/>
      <c r="K61" s="1"/>
      <c r="L61" s="1"/>
      <c r="M61" s="1"/>
      <c r="N61" s="1"/>
    </row>
    <row r="62">
      <c r="A62" s="146" t="s">
        <v>272</v>
      </c>
      <c r="B62" s="147" t="s">
        <v>273</v>
      </c>
      <c r="C62" s="149" t="s">
        <v>274</v>
      </c>
      <c r="D62" s="119"/>
      <c r="E62" s="151" t="s">
        <v>275</v>
      </c>
      <c r="F62" s="1"/>
      <c r="G62" s="1"/>
      <c r="H62" s="1"/>
      <c r="I62" s="1"/>
      <c r="J62" s="1"/>
      <c r="K62" s="1"/>
      <c r="L62" s="1"/>
      <c r="M62" s="1"/>
      <c r="N62" s="1"/>
    </row>
    <row r="63">
      <c r="A63" s="146" t="s">
        <v>276</v>
      </c>
      <c r="B63" s="147" t="s">
        <v>277</v>
      </c>
      <c r="C63" s="149" t="s">
        <v>278</v>
      </c>
      <c r="D63" s="119"/>
      <c r="E63" s="151" t="s">
        <v>279</v>
      </c>
      <c r="F63" s="1"/>
      <c r="G63" s="1"/>
      <c r="H63" s="1"/>
      <c r="I63" s="1"/>
      <c r="J63" s="1"/>
      <c r="K63" s="1"/>
      <c r="L63" s="1"/>
      <c r="M63" s="1"/>
      <c r="N63" s="1"/>
    </row>
    <row r="64">
      <c r="A64" s="146" t="s">
        <v>280</v>
      </c>
      <c r="B64" s="147" t="s">
        <v>281</v>
      </c>
      <c r="C64" s="149" t="s">
        <v>282</v>
      </c>
      <c r="D64" s="119"/>
      <c r="E64" s="151" t="s">
        <v>283</v>
      </c>
      <c r="F64" s="1"/>
      <c r="G64" s="1"/>
      <c r="H64" s="1"/>
      <c r="I64" s="1"/>
      <c r="J64" s="1"/>
      <c r="K64" s="1"/>
      <c r="L64" s="1"/>
      <c r="M64" s="1"/>
      <c r="N64" s="1"/>
    </row>
    <row r="65">
      <c r="A65" s="153" t="s">
        <v>285</v>
      </c>
      <c r="B65" s="154" t="s">
        <v>286</v>
      </c>
      <c r="C65" s="156" t="s">
        <v>288</v>
      </c>
      <c r="D65" s="157"/>
      <c r="E65" s="158" t="s">
        <v>289</v>
      </c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9" t="s">
        <v>290</v>
      </c>
      <c r="F68" s="1"/>
      <c r="G68" s="1"/>
      <c r="H68" s="1"/>
      <c r="I68" s="1"/>
      <c r="J68" s="1"/>
      <c r="K68" s="1"/>
      <c r="L68" s="1"/>
      <c r="M68" s="1"/>
      <c r="N68" s="1"/>
    </row>
    <row r="69">
      <c r="A69" s="160" t="s">
        <v>291</v>
      </c>
      <c r="B69" s="113"/>
      <c r="C69" s="161" t="s">
        <v>292</v>
      </c>
      <c r="D69" s="115"/>
      <c r="E69" s="116"/>
      <c r="F69" s="1"/>
      <c r="G69" s="1"/>
      <c r="H69" s="1"/>
      <c r="I69" s="1"/>
      <c r="J69" s="1"/>
      <c r="K69" s="1"/>
      <c r="L69" s="1"/>
      <c r="M69" s="1"/>
      <c r="N69" s="1"/>
    </row>
    <row r="70">
      <c r="A70" s="164" t="s">
        <v>295</v>
      </c>
      <c r="B70" s="125"/>
      <c r="C70" s="166" t="s">
        <v>296</v>
      </c>
      <c r="D70" s="127"/>
      <c r="E70" s="128"/>
      <c r="F70" s="1"/>
      <c r="G70" s="1"/>
      <c r="H70" s="1"/>
      <c r="I70" s="1"/>
      <c r="J70" s="1"/>
      <c r="K70" s="1"/>
      <c r="L70" s="1"/>
      <c r="M70" s="1"/>
      <c r="N70" s="1"/>
    </row>
    <row r="71">
      <c r="A71" s="167"/>
      <c r="B71" s="168"/>
      <c r="C71" s="169"/>
      <c r="E71" s="170"/>
      <c r="F71" s="1"/>
      <c r="G71" s="1"/>
      <c r="H71" s="1"/>
      <c r="I71" s="1"/>
      <c r="J71" s="1"/>
      <c r="K71" s="1"/>
      <c r="L71" s="1"/>
      <c r="M71" s="1"/>
      <c r="N71" s="1"/>
    </row>
    <row r="72">
      <c r="A72" s="167"/>
      <c r="B72" s="168"/>
      <c r="C72" s="169"/>
      <c r="E72" s="170"/>
      <c r="F72" s="1"/>
      <c r="G72" s="1"/>
      <c r="H72" s="1"/>
      <c r="I72" s="1"/>
      <c r="J72" s="1"/>
      <c r="K72" s="1"/>
      <c r="L72" s="1"/>
      <c r="M72" s="1"/>
      <c r="N72" s="1"/>
    </row>
    <row r="73">
      <c r="A73" s="167"/>
      <c r="B73" s="168"/>
      <c r="C73" s="169"/>
      <c r="E73" s="170"/>
      <c r="F73" s="1"/>
      <c r="G73" s="1"/>
      <c r="H73" s="1"/>
      <c r="I73" s="1"/>
      <c r="J73" s="1"/>
      <c r="K73" s="1"/>
      <c r="L73" s="1"/>
      <c r="M73" s="1"/>
      <c r="N73" s="1"/>
    </row>
    <row r="74">
      <c r="A74" s="167"/>
      <c r="B74" s="168"/>
      <c r="C74" s="169"/>
      <c r="E74" s="170"/>
      <c r="F74" s="1"/>
      <c r="G74" s="1"/>
      <c r="H74" s="1"/>
      <c r="I74" s="1"/>
      <c r="J74" s="1"/>
      <c r="K74" s="1"/>
      <c r="L74" s="1"/>
      <c r="M74" s="1"/>
      <c r="N74" s="1"/>
    </row>
    <row r="75">
      <c r="A75" s="167"/>
      <c r="B75" s="168"/>
      <c r="C75" s="169"/>
      <c r="E75" s="170"/>
      <c r="F75" s="1"/>
      <c r="G75" s="1"/>
      <c r="H75" s="1"/>
      <c r="I75" s="1"/>
      <c r="J75" s="1"/>
      <c r="K75" s="1"/>
      <c r="L75" s="1"/>
      <c r="M75" s="1"/>
      <c r="N75" s="1"/>
    </row>
    <row r="76">
      <c r="A76" s="167"/>
      <c r="B76" s="168"/>
      <c r="C76" s="169"/>
      <c r="E76" s="170"/>
      <c r="F76" s="1"/>
      <c r="G76" s="1"/>
      <c r="H76" s="1"/>
      <c r="I76" s="1"/>
      <c r="J76" s="1"/>
      <c r="K76" s="1"/>
      <c r="L76" s="1"/>
      <c r="M76" s="1"/>
      <c r="N76" s="1"/>
    </row>
    <row r="77">
      <c r="A77" s="167"/>
      <c r="B77" s="168"/>
      <c r="C77" s="169"/>
      <c r="E77" s="170"/>
      <c r="F77" s="1"/>
      <c r="G77" s="1"/>
      <c r="H77" s="1"/>
      <c r="I77" s="1"/>
      <c r="J77" s="1"/>
      <c r="K77" s="1"/>
      <c r="L77" s="1"/>
      <c r="M77" s="1"/>
      <c r="N77" s="1"/>
    </row>
    <row r="78">
      <c r="A78" s="167"/>
      <c r="B78" s="168"/>
      <c r="C78" s="169"/>
      <c r="E78" s="170"/>
      <c r="F78" s="1"/>
      <c r="G78" s="1"/>
      <c r="H78" s="1"/>
      <c r="I78" s="1"/>
      <c r="J78" s="1"/>
      <c r="K78" s="1"/>
      <c r="L78" s="1"/>
      <c r="M78" s="1"/>
      <c r="N78" s="1"/>
    </row>
    <row r="79">
      <c r="A79" s="167"/>
      <c r="B79" s="168"/>
      <c r="C79" s="169"/>
      <c r="E79" s="170"/>
      <c r="F79" s="1"/>
      <c r="G79" s="1"/>
      <c r="H79" s="1"/>
      <c r="I79" s="1"/>
      <c r="J79" s="1"/>
      <c r="K79" s="1"/>
      <c r="L79" s="1"/>
      <c r="M79" s="1"/>
      <c r="N79" s="1"/>
    </row>
    <row r="80">
      <c r="A80" s="167"/>
      <c r="B80" s="168"/>
      <c r="C80" s="169"/>
      <c r="E80" s="170"/>
      <c r="F80" s="1"/>
      <c r="G80" s="1"/>
      <c r="H80" s="1"/>
      <c r="I80" s="1"/>
      <c r="J80" s="1"/>
      <c r="K80" s="1"/>
      <c r="L80" s="1"/>
      <c r="M80" s="1"/>
      <c r="N80" s="1"/>
    </row>
    <row r="81">
      <c r="A81" s="167"/>
      <c r="B81" s="168"/>
      <c r="C81" s="169"/>
      <c r="E81" s="170"/>
      <c r="F81" s="1"/>
      <c r="G81" s="1"/>
      <c r="H81" s="1"/>
      <c r="I81" s="1"/>
      <c r="J81" s="1"/>
      <c r="K81" s="1"/>
      <c r="L81" s="1"/>
      <c r="M81" s="1"/>
      <c r="N81" s="1"/>
    </row>
    <row r="82">
      <c r="A82" s="167"/>
      <c r="B82" s="168"/>
      <c r="C82" s="169"/>
      <c r="E82" s="170"/>
      <c r="F82" s="1"/>
      <c r="G82" s="1"/>
      <c r="H82" s="1"/>
      <c r="I82" s="1"/>
      <c r="J82" s="1"/>
      <c r="K82" s="1"/>
      <c r="L82" s="1"/>
      <c r="M82" s="1"/>
      <c r="N82" s="1"/>
    </row>
    <row r="83">
      <c r="A83" s="167"/>
      <c r="B83" s="168"/>
      <c r="C83" s="169"/>
      <c r="E83" s="170"/>
      <c r="F83" s="1"/>
      <c r="G83" s="1"/>
      <c r="H83" s="1"/>
      <c r="I83" s="1"/>
      <c r="J83" s="1"/>
      <c r="K83" s="1"/>
      <c r="L83" s="1"/>
      <c r="M83" s="1"/>
      <c r="N83" s="1"/>
    </row>
    <row r="84">
      <c r="A84" s="167"/>
      <c r="B84" s="168"/>
      <c r="C84" s="169"/>
      <c r="E84" s="170"/>
      <c r="F84" s="1"/>
      <c r="G84" s="1"/>
      <c r="H84" s="1"/>
      <c r="I84" s="1"/>
      <c r="J84" s="1"/>
      <c r="K84" s="1"/>
      <c r="L84" s="1"/>
      <c r="M84" s="1"/>
      <c r="N84" s="1"/>
    </row>
    <row r="85">
      <c r="A85" s="167"/>
      <c r="B85" s="168"/>
      <c r="C85" s="169"/>
      <c r="E85" s="170"/>
      <c r="F85" s="1"/>
      <c r="G85" s="1"/>
      <c r="H85" s="1"/>
      <c r="I85" s="1"/>
      <c r="J85" s="1"/>
      <c r="K85" s="1"/>
      <c r="L85" s="1"/>
      <c r="M85" s="1"/>
      <c r="N85" s="1"/>
    </row>
    <row r="86">
      <c r="A86" s="167"/>
      <c r="B86" s="168"/>
      <c r="C86" s="169"/>
      <c r="E86" s="170"/>
      <c r="F86" s="1"/>
      <c r="G86" s="1"/>
      <c r="H86" s="1"/>
      <c r="I86" s="1"/>
      <c r="J86" s="1"/>
      <c r="K86" s="1"/>
      <c r="L86" s="1"/>
      <c r="M86" s="1"/>
      <c r="N86" s="1"/>
    </row>
    <row r="87">
      <c r="A87" s="167"/>
      <c r="B87" s="168"/>
      <c r="C87" s="169"/>
      <c r="E87" s="170"/>
      <c r="F87" s="1"/>
      <c r="G87" s="1"/>
      <c r="H87" s="1"/>
      <c r="I87" s="1"/>
      <c r="J87" s="1"/>
      <c r="K87" s="1"/>
      <c r="L87" s="1"/>
      <c r="M87" s="1"/>
      <c r="N87" s="1"/>
    </row>
    <row r="88">
      <c r="A88" s="167"/>
      <c r="B88" s="168"/>
      <c r="C88" s="169"/>
      <c r="E88" s="170"/>
      <c r="F88" s="1"/>
      <c r="G88" s="1"/>
      <c r="H88" s="1"/>
      <c r="I88" s="1"/>
      <c r="J88" s="1"/>
      <c r="K88" s="1"/>
      <c r="L88" s="1"/>
      <c r="M88" s="1"/>
      <c r="N88" s="1"/>
    </row>
    <row r="89">
      <c r="A89" s="175"/>
      <c r="B89" s="176"/>
      <c r="C89" s="177"/>
      <c r="D89" s="178"/>
      <c r="E89" s="179"/>
      <c r="F89" s="1"/>
      <c r="G89" s="1"/>
      <c r="H89" s="1"/>
      <c r="I89" s="1"/>
      <c r="J89" s="1"/>
      <c r="K89" s="1"/>
      <c r="L89" s="1"/>
      <c r="M89" s="1"/>
      <c r="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>
      <c r="A91" s="180" t="s">
        <v>298</v>
      </c>
      <c r="B91" s="115"/>
      <c r="C91" s="115"/>
      <c r="D91" s="115"/>
      <c r="E91" s="116"/>
      <c r="F91" s="1"/>
      <c r="G91" s="1"/>
      <c r="H91" s="1"/>
      <c r="I91" s="1"/>
      <c r="J91" s="1"/>
      <c r="K91" s="1"/>
      <c r="L91" s="1"/>
      <c r="M91" s="1"/>
      <c r="N91" s="1"/>
    </row>
    <row r="92">
      <c r="A92" s="181" t="s">
        <v>299</v>
      </c>
      <c r="B92" s="183" t="str">
        <f>HYPERLINK("https://docs.google.com/forms/d/e/1FAIpQLSd81uyDsqhBHGSfUXosuxmuP15disDyjrgC9_-gsek7TsoP5g/viewform?usp=header","Experiencia de Viaje | Cóndor Expeditions (Google Forms)")</f>
        <v>Experiencia de Viaje | Cóndor Expeditions (Google Forms)</v>
      </c>
      <c r="C92" s="185" t="s">
        <v>301</v>
      </c>
      <c r="D92" s="156" t="s">
        <v>302</v>
      </c>
      <c r="E92" s="186"/>
      <c r="F92" s="1"/>
      <c r="G92" s="1"/>
      <c r="H92" s="1"/>
      <c r="I92" s="1"/>
      <c r="J92" s="1"/>
      <c r="K92" s="1"/>
      <c r="L92" s="1"/>
      <c r="M92" s="1"/>
      <c r="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</sheetData>
  <mergeCells count="80">
    <mergeCell ref="D37:E37"/>
    <mergeCell ref="D38:E38"/>
    <mergeCell ref="A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C46:E46"/>
    <mergeCell ref="A46:B46"/>
    <mergeCell ref="A47:B47"/>
    <mergeCell ref="C47:E47"/>
    <mergeCell ref="A49:E49"/>
    <mergeCell ref="A50:B50"/>
    <mergeCell ref="C50:E50"/>
    <mergeCell ref="D51:E51"/>
    <mergeCell ref="D52:E52"/>
    <mergeCell ref="D53:E53"/>
    <mergeCell ref="D54:E54"/>
    <mergeCell ref="A55:A57"/>
    <mergeCell ref="B55:E55"/>
    <mergeCell ref="B56:E56"/>
    <mergeCell ref="B57:E57"/>
    <mergeCell ref="A2:E2"/>
    <mergeCell ref="A5:E5"/>
    <mergeCell ref="D6:E6"/>
    <mergeCell ref="D7:E7"/>
    <mergeCell ref="B8:E8"/>
    <mergeCell ref="D9:E9"/>
    <mergeCell ref="D10:E10"/>
    <mergeCell ref="A12:E12"/>
    <mergeCell ref="D13:E13"/>
    <mergeCell ref="D14:E14"/>
    <mergeCell ref="D15:E15"/>
    <mergeCell ref="B16:E16"/>
    <mergeCell ref="D17:E17"/>
    <mergeCell ref="B18:E18"/>
    <mergeCell ref="A20:E20"/>
    <mergeCell ref="B21:C21"/>
    <mergeCell ref="B22:C22"/>
    <mergeCell ref="B23:C23"/>
    <mergeCell ref="B24:C24"/>
    <mergeCell ref="B25:C25"/>
    <mergeCell ref="B26:C26"/>
    <mergeCell ref="B27:C27"/>
    <mergeCell ref="B28:C28"/>
    <mergeCell ref="A30:E30"/>
    <mergeCell ref="B31:C31"/>
    <mergeCell ref="D31:E31"/>
    <mergeCell ref="B32:C32"/>
    <mergeCell ref="D32:E32"/>
    <mergeCell ref="B36:C36"/>
    <mergeCell ref="B37:C37"/>
    <mergeCell ref="B38:C38"/>
    <mergeCell ref="B33:C33"/>
    <mergeCell ref="D33:E33"/>
    <mergeCell ref="B34:C34"/>
    <mergeCell ref="D34:E34"/>
    <mergeCell ref="B35:C35"/>
    <mergeCell ref="D35:E35"/>
    <mergeCell ref="D36:E36"/>
    <mergeCell ref="A68:E68"/>
    <mergeCell ref="A69:B69"/>
    <mergeCell ref="C69:E69"/>
    <mergeCell ref="A70:B89"/>
    <mergeCell ref="C70:E89"/>
    <mergeCell ref="A91:E91"/>
    <mergeCell ref="D92:E92"/>
    <mergeCell ref="A59:E59"/>
    <mergeCell ref="C60:D60"/>
    <mergeCell ref="C61:D61"/>
    <mergeCell ref="C62:D62"/>
    <mergeCell ref="C63:D63"/>
    <mergeCell ref="C64:D64"/>
    <mergeCell ref="C65:D65"/>
  </mergeCells>
  <dataValidations>
    <dataValidation type="list" allowBlank="1" sqref="D6">
      <formula1>'DB CONECTOR'!$A$1:$A$15</formula1>
    </dataValidation>
    <dataValidation type="list" allowBlank="1" sqref="B9">
      <formula1>'DB CONECTOR'!$K$1:$K$4</formula1>
    </dataValidation>
    <dataValidation type="list" allowBlank="1" sqref="D7">
      <formula1>'DB CONECTOR'!$C$1:$C$5</formula1>
    </dataValidation>
    <dataValidation type="list" allowBlank="1" sqref="D9">
      <formula1>'DB CONECTOR'!$E$1:$E$6</formula1>
    </dataValidation>
    <dataValidation type="list" allowBlank="1" showErrorMessage="1" sqref="B17">
      <formula1>"Mañana: 08:30,Tarde: 14:00,Salida flexible"</formula1>
    </dataValidation>
    <dataValidation type="list" allowBlank="1" sqref="B10">
      <formula1>'DB CONECTOR'!$I$1:$I$15</formula1>
    </dataValidation>
    <dataValidation type="list" allowBlank="1" sqref="D10">
      <formula1>'DB CONECTOR'!$G$1:$G$2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38"/>
    <col customWidth="1" min="2" max="2" width="16.38"/>
    <col customWidth="1" min="3" max="10" width="13.38"/>
    <col customWidth="1" min="11" max="11" width="34.13"/>
    <col customWidth="1" min="12" max="12" width="5.5"/>
    <col customWidth="1" min="13" max="13" width="28.38"/>
    <col customWidth="1" min="14" max="14" width="17.5"/>
    <col customWidth="1" min="15" max="15" width="11.25"/>
    <col customWidth="1" min="16" max="16" width="11.0"/>
    <col customWidth="1" min="17" max="17" width="31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4" t="s">
        <v>1</v>
      </c>
      <c r="L2" s="7"/>
      <c r="M2" s="7"/>
      <c r="N2" s="7"/>
      <c r="O2" s="7"/>
      <c r="P2" s="7"/>
      <c r="Q2" s="1"/>
      <c r="R2" s="1"/>
      <c r="S2" s="1"/>
      <c r="T2" s="1"/>
      <c r="U2" s="1"/>
      <c r="V2" s="1"/>
    </row>
    <row r="3">
      <c r="A3" s="9" t="s">
        <v>2</v>
      </c>
      <c r="L3" s="10"/>
      <c r="M3" s="10"/>
      <c r="N3" s="10"/>
      <c r="O3" s="10"/>
      <c r="P3" s="10"/>
      <c r="Q3" s="1"/>
      <c r="R3" s="1"/>
      <c r="S3" s="1"/>
      <c r="T3" s="1"/>
      <c r="U3" s="1"/>
      <c r="V3" s="1"/>
    </row>
    <row r="4">
      <c r="A4" s="14" t="s">
        <v>4</v>
      </c>
      <c r="B4" s="21" t="b">
        <v>1</v>
      </c>
      <c r="C4" s="21" t="b">
        <v>1</v>
      </c>
      <c r="D4" s="21" t="b">
        <v>1</v>
      </c>
      <c r="E4" s="21" t="b">
        <v>1</v>
      </c>
      <c r="F4" s="21" t="b">
        <v>1</v>
      </c>
      <c r="G4" s="21" t="b">
        <v>1</v>
      </c>
      <c r="H4" s="21" t="b">
        <v>1</v>
      </c>
      <c r="I4" s="21" t="b">
        <v>1</v>
      </c>
      <c r="J4" s="21" t="b">
        <v>1</v>
      </c>
      <c r="K4" s="25"/>
      <c r="L4" s="26"/>
      <c r="R4" s="1"/>
      <c r="S4" s="1"/>
      <c r="T4" s="1"/>
      <c r="U4" s="1"/>
      <c r="V4" s="1"/>
    </row>
    <row r="5">
      <c r="A5" s="28" t="s">
        <v>10</v>
      </c>
      <c r="B5" s="29">
        <v>1.0</v>
      </c>
      <c r="C5" s="29">
        <v>2.0</v>
      </c>
      <c r="D5" s="29">
        <v>3.0</v>
      </c>
      <c r="E5" s="29">
        <v>4.0</v>
      </c>
      <c r="F5" s="29">
        <v>5.0</v>
      </c>
      <c r="G5" s="29">
        <v>6.0</v>
      </c>
      <c r="H5" s="29">
        <v>7.0</v>
      </c>
      <c r="I5" s="29">
        <v>8.0</v>
      </c>
      <c r="J5" s="29">
        <v>9.0</v>
      </c>
      <c r="K5" s="31" t="s">
        <v>11</v>
      </c>
      <c r="L5" s="26"/>
      <c r="R5" s="1"/>
      <c r="S5" s="1"/>
      <c r="T5" s="1"/>
      <c r="U5" s="1"/>
      <c r="V5" s="1"/>
    </row>
    <row r="6">
      <c r="A6" s="33" t="s">
        <v>14</v>
      </c>
      <c r="B6" s="39">
        <f>IFERROR(__xludf.DUMMYFUNCTION("IF(B4,IFERROR(INDEX(FILTER('DB CONECTOR'!$S$1:$S$8, 'DB CONECTOR'!$N$1:$N$8=$B$45, 'DB CONECTOR'!$R$1:$R$8=$B$46, 'DB CONECTOR'!$Q$1:$Q$8&gt;=B5), 1), 0),IFERROR(INDEX(FILTER('DB CONECTOR'!$T$1:$T$8, 'DB CONECTOR'!$N$1:$N$8=$B$45, 'DB CONECTOR'!$R$1:$R$8=$B$"&amp;"46, 'DB CONECTOR'!$Q$1:$Q$8&gt;=B5), 1), 0))"),80.0)</f>
        <v>80</v>
      </c>
      <c r="C6" s="39">
        <f>IFERROR(__xludf.DUMMYFUNCTION("IF(C4,IFERROR(INDEX(FILTER('DB CONECTOR'!$S$1:$S$8, 'DB CONECTOR'!$N$1:$N$8=$B$45, 'DB CONECTOR'!$R$1:$R$8=$B$46, 'DB CONECTOR'!$Q$1:$Q$8&gt;=C5), 1), 0),IFERROR(INDEX(FILTER('DB CONECTOR'!$T$1:$T$8, 'DB CONECTOR'!$N$1:$N$8=$B$45, 'DB CONECTOR'!$R$1:$R$8=$B$"&amp;"46, 'DB CONECTOR'!$Q$1:$Q$8&gt;=C5), 1), 0))"),80.0)</f>
        <v>80</v>
      </c>
      <c r="D6" s="39">
        <f>IFERROR(__xludf.DUMMYFUNCTION("IF(D4,IFERROR(INDEX(FILTER('DB CONECTOR'!$S$1:$S$8, 'DB CONECTOR'!$N$1:$N$8=$B$45, 'DB CONECTOR'!$R$1:$R$8=$B$46, 'DB CONECTOR'!$Q$1:$Q$8&gt;=D5), 1), 0),IFERROR(INDEX(FILTER('DB CONECTOR'!$T$1:$T$8, 'DB CONECTOR'!$N$1:$N$8=$B$45, 'DB CONECTOR'!$R$1:$R$8=$B$"&amp;"46, 'DB CONECTOR'!$Q$1:$Q$8&gt;=D5), 1), 0))"),80.0)</f>
        <v>80</v>
      </c>
      <c r="E6" s="39">
        <f>IFERROR(__xludf.DUMMYFUNCTION("IF(E4,IFERROR(INDEX(FILTER('DB CONECTOR'!$S$1:$S$8, 'DB CONECTOR'!$N$1:$N$8=$B$45, 'DB CONECTOR'!$R$1:$R$8=$B$46, 'DB CONECTOR'!$Q$1:$Q$8&gt;=E5), 1), 0),IFERROR(INDEX(FILTER('DB CONECTOR'!$T$1:$T$8, 'DB CONECTOR'!$N$1:$N$8=$B$45, 'DB CONECTOR'!$R$1:$R$8=$B$"&amp;"46, 'DB CONECTOR'!$Q$1:$Q$8&gt;=E5), 1), 0))"),80.0)</f>
        <v>80</v>
      </c>
      <c r="F6" s="39">
        <f>IFERROR(__xludf.DUMMYFUNCTION("IF(F4,IFERROR(INDEX(FILTER('DB CONECTOR'!$S$1:$S$8, 'DB CONECTOR'!$N$1:$N$8=$B$45, 'DB CONECTOR'!$R$1:$R$8=$B$46, 'DB CONECTOR'!$Q$1:$Q$8&gt;=F5), 1), 0),IFERROR(INDEX(FILTER('DB CONECTOR'!$T$1:$T$8, 'DB CONECTOR'!$N$1:$N$8=$B$45, 'DB CONECTOR'!$R$1:$R$8=$B$"&amp;"46, 'DB CONECTOR'!$Q$1:$Q$8&gt;=F5), 1), 0))"),90.0)</f>
        <v>90</v>
      </c>
      <c r="G6" s="39">
        <f>IFERROR(__xludf.DUMMYFUNCTION("IF(G4,IFERROR(INDEX(FILTER('DB CONECTOR'!$S$1:$S$8, 'DB CONECTOR'!$N$1:$N$8=$B$45, 'DB CONECTOR'!$R$1:$R$8=$B$46, 'DB CONECTOR'!$Q$1:$Q$8&gt;=G5), 1), 0),IFERROR(INDEX(FILTER('DB CONECTOR'!$T$1:$T$8, 'DB CONECTOR'!$N$1:$N$8=$B$45, 'DB CONECTOR'!$R$1:$R$8=$B$"&amp;"46, 'DB CONECTOR'!$Q$1:$Q$8&gt;=G5), 1), 0))"),90.0)</f>
        <v>90</v>
      </c>
      <c r="H6" s="39">
        <f>IFERROR(__xludf.DUMMYFUNCTION("IF(H4,IFERROR(INDEX(FILTER('DB CONECTOR'!$S$1:$S$8, 'DB CONECTOR'!$N$1:$N$8=$B$45, 'DB CONECTOR'!$R$1:$R$8=$B$46, 'DB CONECTOR'!$Q$1:$Q$8&gt;=H5), 1), 0),IFERROR(INDEX(FILTER('DB CONECTOR'!$T$1:$T$8, 'DB CONECTOR'!$N$1:$N$8=$B$45, 'DB CONECTOR'!$R$1:$R$8=$B$"&amp;"46, 'DB CONECTOR'!$Q$1:$Q$8&gt;=H5), 1), 0))"),90.0)</f>
        <v>90</v>
      </c>
      <c r="I6" s="39">
        <f>IFERROR(__xludf.DUMMYFUNCTION("IF(I4,IFERROR(INDEX(FILTER('DB CONECTOR'!$S$1:$S$8, 'DB CONECTOR'!$N$1:$N$8=$B$45, 'DB CONECTOR'!$R$1:$R$8=$B$46, 'DB CONECTOR'!$Q$1:$Q$8&gt;=I5), 1), 0),IFERROR(INDEX(FILTER('DB CONECTOR'!$T$1:$T$8, 'DB CONECTOR'!$N$1:$N$8=$B$45, 'DB CONECTOR'!$R$1:$R$8=$B$"&amp;"46, 'DB CONECTOR'!$Q$1:$Q$8&gt;=I5), 1), 0))"),120.0)</f>
        <v>120</v>
      </c>
      <c r="J6" s="39">
        <f>IFERROR(__xludf.DUMMYFUNCTION("IF(J4,IFERROR(INDEX(FILTER('DB CONECTOR'!$S$1:$S$8, 'DB CONECTOR'!$N$1:$N$8=$B$45, 'DB CONECTOR'!$R$1:$R$8=$B$46, 'DB CONECTOR'!$Q$1:$Q$8&gt;=J5), 1), 0),IFERROR(INDEX(FILTER('DB CONECTOR'!$T$1:$T$8, 'DB CONECTOR'!$N$1:$N$8=$B$45, 'DB CONECTOR'!$R$1:$R$8=$B$"&amp;"46, 'DB CONECTOR'!$Q$1:$Q$8&gt;=J5), 1), 0))"),120.0)</f>
        <v>120</v>
      </c>
      <c r="K6" s="54" t="s">
        <v>46</v>
      </c>
      <c r="L6" s="26"/>
      <c r="U6" s="1"/>
      <c r="V6" s="1"/>
    </row>
    <row r="7">
      <c r="A7" s="33" t="s">
        <v>51</v>
      </c>
      <c r="B7" s="73">
        <f>IF(B5/16&gt;1, IF((SUM(B6, B8:B16) + VLOOKUP($B$46, 'DB CONECTOR'!$K$1:$L$2, 2, FALSE)*2)/B5 &lt;= $B$44, VLOOKUP($B$46, 'DB CONECTOR'!$K$1:$L$2, 2, FALSE)*2, 0), IF((SUM(B6, B8:B16) + VLOOKUP($B$46, 'DB CONECTOR'!$K$1:$L$2, 2, FALSE))/B5 &lt;= $B$44, VLOOKUP($B$46, 'DB CONECTOR'!$K$1:$L$2, 2, FALSE), 0))</f>
        <v>0</v>
      </c>
      <c r="C7" s="73">
        <f>IF(C5/16&gt;1, IF((SUM(C6, C8:C16) + VLOOKUP($B$46, 'DB CONECTOR'!$K$1:$L$2, 2, FALSE)*2)/C5 &lt;= $B$44, VLOOKUP($B$46, 'DB CONECTOR'!$K$1:$L$2, 2, FALSE)*2, 0), IF((SUM(C6, C8:C16) + VLOOKUP($B$46, 'DB CONECTOR'!$K$1:$L$2, 2, FALSE))/C5 &lt;= $B$44, VLOOKUP($B$46, 'DB CONECTOR'!$K$1:$L$2, 2, FALSE), 0))</f>
        <v>0</v>
      </c>
      <c r="D7" s="73">
        <f>IF(D5/16&gt;1, IF((SUM(D6, D8:D16) + VLOOKUP($B$46, 'DB CONECTOR'!$K$1:$L$2, 2, FALSE)*2)/D5 &lt;= $B$44, VLOOKUP($B$46, 'DB CONECTOR'!$K$1:$L$2, 2, FALSE)*2, 0), IF((SUM(D6, D8:D16) + VLOOKUP($B$46, 'DB CONECTOR'!$K$1:$L$2, 2, FALSE))/D5 &lt;= $B$44, VLOOKUP($B$46, 'DB CONECTOR'!$K$1:$L$2, 2, FALSE), 0))</f>
        <v>0</v>
      </c>
      <c r="E7" s="73">
        <f>IF(E5/16&gt;1, IF((SUM(E6, E8:E16) + VLOOKUP($B$46, 'DB CONECTOR'!$K$1:$L$2, 2, FALSE)*2)/E5 &lt;= $B$44, VLOOKUP($B$46, 'DB CONECTOR'!$K$1:$L$2, 2, FALSE)*2, 0), IF((SUM(E6, E8:E16) + VLOOKUP($B$46, 'DB CONECTOR'!$K$1:$L$2, 2, FALSE))/E5 &lt;= $B$44, VLOOKUP($B$46, 'DB CONECTOR'!$K$1:$L$2, 2, FALSE), 0))</f>
        <v>0</v>
      </c>
      <c r="F7" s="73">
        <f>IF(F5/16&gt;1, IF((SUM(F6, F8:F16) + VLOOKUP($B$46, 'DB CONECTOR'!$K$1:$L$2, 2, FALSE)*2)/F5 &lt;= $B$44, VLOOKUP($B$46, 'DB CONECTOR'!$K$1:$L$2, 2, FALSE)*2, 0), IF((SUM(F6, F8:F16) + VLOOKUP($B$46, 'DB CONECTOR'!$K$1:$L$2, 2, FALSE))/F5 &lt;= $B$44, VLOOKUP($B$46, 'DB CONECTOR'!$K$1:$L$2, 2, FALSE), 0))</f>
        <v>40</v>
      </c>
      <c r="G7" s="73">
        <f>IF(G5/16&gt;1, IF((SUM(G6, G8:G16) + VLOOKUP($B$46, 'DB CONECTOR'!$K$1:$L$2, 2, FALSE)*2)/G5 &lt;= $B$44, VLOOKUP($B$46, 'DB CONECTOR'!$K$1:$L$2, 2, FALSE)*2, 0), IF((SUM(G6, G8:G16) + VLOOKUP($B$46, 'DB CONECTOR'!$K$1:$L$2, 2, FALSE))/G5 &lt;= $B$44, VLOOKUP($B$46, 'DB CONECTOR'!$K$1:$L$2, 2, FALSE), 0))</f>
        <v>40</v>
      </c>
      <c r="H7" s="73">
        <f>IF(H5/16&gt;1, IF((SUM(H6, H8:H16) + VLOOKUP($B$46, 'DB CONECTOR'!$K$1:$L$2, 2, FALSE)*2)/H5 &lt;= $B$44, VLOOKUP($B$46, 'DB CONECTOR'!$K$1:$L$2, 2, FALSE)*2, 0), IF((SUM(H6, H8:H16) + VLOOKUP($B$46, 'DB CONECTOR'!$K$1:$L$2, 2, FALSE))/H5 &lt;= $B$44, VLOOKUP($B$46, 'DB CONECTOR'!$K$1:$L$2, 2, FALSE), 0))</f>
        <v>40</v>
      </c>
      <c r="I7" s="73">
        <f>IF(I5/16&gt;1, IF((SUM(I6, I8:I16) + VLOOKUP($B$46, 'DB CONECTOR'!$K$1:$L$2, 2, FALSE)*2)/I5 &lt;= $B$44, VLOOKUP($B$46, 'DB CONECTOR'!$K$1:$L$2, 2, FALSE)*2, 0), IF((SUM(I6, I8:I16) + VLOOKUP($B$46, 'DB CONECTOR'!$K$1:$L$2, 2, FALSE))/I5 &lt;= $B$44, VLOOKUP($B$46, 'DB CONECTOR'!$K$1:$L$2, 2, FALSE), 0))</f>
        <v>40</v>
      </c>
      <c r="J7" s="73">
        <f>IF(J5/16&gt;1, IF((SUM(J6, J8:J16) + VLOOKUP($B$46, 'DB CONECTOR'!$K$1:$L$2, 2, FALSE)*2)/J5 &lt;= $B$44, VLOOKUP($B$46, 'DB CONECTOR'!$K$1:$L$2, 2, FALSE)*2, 0), IF((SUM(J6, J8:J16) + VLOOKUP($B$46, 'DB CONECTOR'!$K$1:$L$2, 2, FALSE))/J5 &lt;= $B$44, VLOOKUP($B$46, 'DB CONECTOR'!$K$1:$L$2, 2, FALSE), 0))</f>
        <v>40</v>
      </c>
      <c r="K7" s="54" t="s">
        <v>213</v>
      </c>
      <c r="L7" s="26"/>
      <c r="U7" s="1"/>
      <c r="V7" s="1"/>
    </row>
    <row r="8">
      <c r="A8" s="117" t="s">
        <v>215</v>
      </c>
      <c r="B8" s="39">
        <v>8.0</v>
      </c>
      <c r="C8" s="123">
        <f t="shared" ref="C8:J8" si="1">$B$8*C5</f>
        <v>16</v>
      </c>
      <c r="D8" s="123">
        <f t="shared" si="1"/>
        <v>24</v>
      </c>
      <c r="E8" s="123">
        <f t="shared" si="1"/>
        <v>32</v>
      </c>
      <c r="F8" s="123">
        <f t="shared" si="1"/>
        <v>40</v>
      </c>
      <c r="G8" s="123">
        <f t="shared" si="1"/>
        <v>48</v>
      </c>
      <c r="H8" s="123">
        <f t="shared" si="1"/>
        <v>56</v>
      </c>
      <c r="I8" s="123">
        <f t="shared" si="1"/>
        <v>64</v>
      </c>
      <c r="J8" s="123">
        <f t="shared" si="1"/>
        <v>72</v>
      </c>
      <c r="K8" s="54" t="s">
        <v>225</v>
      </c>
      <c r="L8" s="26"/>
      <c r="M8" s="20" t="s">
        <v>227</v>
      </c>
      <c r="U8" s="1"/>
      <c r="V8" s="1"/>
    </row>
    <row r="9">
      <c r="A9" s="117" t="s">
        <v>228</v>
      </c>
      <c r="B9" s="39">
        <v>0.0</v>
      </c>
      <c r="C9" s="123">
        <f t="shared" ref="C9:J9" si="2">$B$9*C5</f>
        <v>0</v>
      </c>
      <c r="D9" s="123">
        <f t="shared" si="2"/>
        <v>0</v>
      </c>
      <c r="E9" s="123">
        <f t="shared" si="2"/>
        <v>0</v>
      </c>
      <c r="F9" s="123">
        <f t="shared" si="2"/>
        <v>0</v>
      </c>
      <c r="G9" s="123">
        <f t="shared" si="2"/>
        <v>0</v>
      </c>
      <c r="H9" s="123">
        <f t="shared" si="2"/>
        <v>0</v>
      </c>
      <c r="I9" s="123">
        <f t="shared" si="2"/>
        <v>0</v>
      </c>
      <c r="J9" s="123">
        <f t="shared" si="2"/>
        <v>0</v>
      </c>
      <c r="K9" s="131" t="s">
        <v>233</v>
      </c>
      <c r="L9" s="26"/>
      <c r="U9" s="1"/>
      <c r="V9" s="1"/>
    </row>
    <row r="10">
      <c r="A10" s="117" t="s">
        <v>234</v>
      </c>
      <c r="B10" s="39">
        <v>0.0</v>
      </c>
      <c r="C10" s="123">
        <f t="shared" ref="C10:J10" si="3">$B$10*C5</f>
        <v>0</v>
      </c>
      <c r="D10" s="123">
        <f t="shared" si="3"/>
        <v>0</v>
      </c>
      <c r="E10" s="123">
        <f t="shared" si="3"/>
        <v>0</v>
      </c>
      <c r="F10" s="123">
        <f t="shared" si="3"/>
        <v>0</v>
      </c>
      <c r="G10" s="123">
        <f t="shared" si="3"/>
        <v>0</v>
      </c>
      <c r="H10" s="123">
        <f t="shared" si="3"/>
        <v>0</v>
      </c>
      <c r="I10" s="123">
        <f t="shared" si="3"/>
        <v>0</v>
      </c>
      <c r="J10" s="123">
        <f t="shared" si="3"/>
        <v>0</v>
      </c>
      <c r="K10" s="131" t="s">
        <v>243</v>
      </c>
      <c r="L10" s="26"/>
      <c r="U10" s="1"/>
      <c r="V10" s="1"/>
    </row>
    <row r="11">
      <c r="A11" s="117" t="s">
        <v>244</v>
      </c>
      <c r="B11" s="39">
        <v>0.0</v>
      </c>
      <c r="C11" s="123">
        <f t="shared" ref="C11:J11" si="4">$B$11*C5</f>
        <v>0</v>
      </c>
      <c r="D11" s="123">
        <f t="shared" si="4"/>
        <v>0</v>
      </c>
      <c r="E11" s="123">
        <f t="shared" si="4"/>
        <v>0</v>
      </c>
      <c r="F11" s="123">
        <f t="shared" si="4"/>
        <v>0</v>
      </c>
      <c r="G11" s="123">
        <f t="shared" si="4"/>
        <v>0</v>
      </c>
      <c r="H11" s="123">
        <f t="shared" si="4"/>
        <v>0</v>
      </c>
      <c r="I11" s="123">
        <f t="shared" si="4"/>
        <v>0</v>
      </c>
      <c r="J11" s="123">
        <f t="shared" si="4"/>
        <v>0</v>
      </c>
      <c r="K11" s="131" t="s">
        <v>244</v>
      </c>
      <c r="L11" s="26"/>
      <c r="U11" s="1"/>
      <c r="V11" s="1"/>
    </row>
    <row r="12">
      <c r="A12" s="117" t="s">
        <v>254</v>
      </c>
      <c r="B12" s="39">
        <v>0.0</v>
      </c>
      <c r="C12" s="123">
        <f t="shared" ref="C12:J12" si="5">$B$12*C5</f>
        <v>0</v>
      </c>
      <c r="D12" s="123">
        <f t="shared" si="5"/>
        <v>0</v>
      </c>
      <c r="E12" s="123">
        <f t="shared" si="5"/>
        <v>0</v>
      </c>
      <c r="F12" s="123">
        <f t="shared" si="5"/>
        <v>0</v>
      </c>
      <c r="G12" s="123">
        <f t="shared" si="5"/>
        <v>0</v>
      </c>
      <c r="H12" s="123">
        <f t="shared" si="5"/>
        <v>0</v>
      </c>
      <c r="I12" s="123">
        <f t="shared" si="5"/>
        <v>0</v>
      </c>
      <c r="J12" s="123">
        <f t="shared" si="5"/>
        <v>0</v>
      </c>
      <c r="K12" s="131" t="s">
        <v>255</v>
      </c>
      <c r="L12" s="26"/>
      <c r="U12" s="1"/>
      <c r="V12" s="1"/>
    </row>
    <row r="13">
      <c r="A13" s="117" t="s">
        <v>256</v>
      </c>
      <c r="B13" s="39">
        <v>0.0</v>
      </c>
      <c r="C13" s="123">
        <f t="shared" ref="C13:J13" si="6">$B$13*C5</f>
        <v>0</v>
      </c>
      <c r="D13" s="123">
        <f t="shared" si="6"/>
        <v>0</v>
      </c>
      <c r="E13" s="123">
        <f t="shared" si="6"/>
        <v>0</v>
      </c>
      <c r="F13" s="123">
        <f t="shared" si="6"/>
        <v>0</v>
      </c>
      <c r="G13" s="123">
        <f t="shared" si="6"/>
        <v>0</v>
      </c>
      <c r="H13" s="123">
        <f t="shared" si="6"/>
        <v>0</v>
      </c>
      <c r="I13" s="123">
        <f t="shared" si="6"/>
        <v>0</v>
      </c>
      <c r="J13" s="123">
        <f t="shared" si="6"/>
        <v>0</v>
      </c>
      <c r="K13" s="131" t="s">
        <v>257</v>
      </c>
      <c r="L13" s="26"/>
      <c r="U13" s="1"/>
      <c r="V13" s="1"/>
    </row>
    <row r="14">
      <c r="A14" s="33" t="s">
        <v>258</v>
      </c>
      <c r="B14" s="39">
        <v>0.0</v>
      </c>
      <c r="C14" s="123">
        <f t="shared" ref="C14:J14" si="7">$B$14*C5</f>
        <v>0</v>
      </c>
      <c r="D14" s="123">
        <f t="shared" si="7"/>
        <v>0</v>
      </c>
      <c r="E14" s="123">
        <f t="shared" si="7"/>
        <v>0</v>
      </c>
      <c r="F14" s="123">
        <f t="shared" si="7"/>
        <v>0</v>
      </c>
      <c r="G14" s="123">
        <f t="shared" si="7"/>
        <v>0</v>
      </c>
      <c r="H14" s="123">
        <f t="shared" si="7"/>
        <v>0</v>
      </c>
      <c r="I14" s="123">
        <f t="shared" si="7"/>
        <v>0</v>
      </c>
      <c r="J14" s="123">
        <f t="shared" si="7"/>
        <v>0</v>
      </c>
      <c r="K14" s="131" t="s">
        <v>259</v>
      </c>
      <c r="L14" s="26"/>
      <c r="U14" s="1"/>
      <c r="V14" s="1"/>
    </row>
    <row r="15">
      <c r="A15" s="117" t="s">
        <v>260</v>
      </c>
      <c r="B15" s="39">
        <v>0.0</v>
      </c>
      <c r="C15" s="123">
        <f t="shared" ref="C15:J15" si="8">$B$15*C5</f>
        <v>0</v>
      </c>
      <c r="D15" s="123">
        <f t="shared" si="8"/>
        <v>0</v>
      </c>
      <c r="E15" s="123">
        <f t="shared" si="8"/>
        <v>0</v>
      </c>
      <c r="F15" s="123">
        <f t="shared" si="8"/>
        <v>0</v>
      </c>
      <c r="G15" s="123">
        <f t="shared" si="8"/>
        <v>0</v>
      </c>
      <c r="H15" s="123">
        <f t="shared" si="8"/>
        <v>0</v>
      </c>
      <c r="I15" s="123">
        <f t="shared" si="8"/>
        <v>0</v>
      </c>
      <c r="J15" s="123">
        <f t="shared" si="8"/>
        <v>0</v>
      </c>
      <c r="K15" s="131" t="s">
        <v>266</v>
      </c>
      <c r="L15" s="26"/>
      <c r="U15" s="1"/>
      <c r="V15" s="1"/>
    </row>
    <row r="16">
      <c r="A16" s="148" t="s">
        <v>268</v>
      </c>
      <c r="B16" s="150">
        <v>0.0</v>
      </c>
      <c r="C16" s="123">
        <f t="shared" ref="C16:J16" si="9">$B$16*C5</f>
        <v>0</v>
      </c>
      <c r="D16" s="123">
        <f t="shared" si="9"/>
        <v>0</v>
      </c>
      <c r="E16" s="123">
        <f t="shared" si="9"/>
        <v>0</v>
      </c>
      <c r="F16" s="123">
        <f t="shared" si="9"/>
        <v>0</v>
      </c>
      <c r="G16" s="123">
        <f t="shared" si="9"/>
        <v>0</v>
      </c>
      <c r="H16" s="123">
        <f t="shared" si="9"/>
        <v>0</v>
      </c>
      <c r="I16" s="123">
        <f t="shared" si="9"/>
        <v>0</v>
      </c>
      <c r="J16" s="123">
        <f t="shared" si="9"/>
        <v>0</v>
      </c>
      <c r="K16" s="152" t="s">
        <v>284</v>
      </c>
      <c r="L16" s="26"/>
      <c r="U16" s="1"/>
      <c r="V16" s="1"/>
    </row>
    <row r="17">
      <c r="A17" s="155" t="s">
        <v>287</v>
      </c>
      <c r="B17" s="159">
        <f t="shared" ref="B17:J17" si="10">SUM(B6:B16)</f>
        <v>88</v>
      </c>
      <c r="C17" s="159">
        <f t="shared" si="10"/>
        <v>96</v>
      </c>
      <c r="D17" s="159">
        <f t="shared" si="10"/>
        <v>104</v>
      </c>
      <c r="E17" s="159">
        <f t="shared" si="10"/>
        <v>112</v>
      </c>
      <c r="F17" s="159">
        <f t="shared" si="10"/>
        <v>170</v>
      </c>
      <c r="G17" s="159">
        <f t="shared" si="10"/>
        <v>178</v>
      </c>
      <c r="H17" s="159">
        <f t="shared" si="10"/>
        <v>186</v>
      </c>
      <c r="I17" s="159">
        <f t="shared" si="10"/>
        <v>224</v>
      </c>
      <c r="J17" s="159">
        <f t="shared" si="10"/>
        <v>232</v>
      </c>
      <c r="K17" s="162" t="s">
        <v>293</v>
      </c>
      <c r="L17" s="26"/>
      <c r="U17" s="1"/>
      <c r="V17" s="1"/>
    </row>
    <row r="18">
      <c r="A18" s="163" t="s">
        <v>294</v>
      </c>
      <c r="B18" s="165">
        <f t="shared" ref="B18:J18" si="11">B17/B5</f>
        <v>88</v>
      </c>
      <c r="C18" s="165">
        <f t="shared" si="11"/>
        <v>48</v>
      </c>
      <c r="D18" s="165">
        <f t="shared" si="11"/>
        <v>34.66666667</v>
      </c>
      <c r="E18" s="165">
        <f t="shared" si="11"/>
        <v>28</v>
      </c>
      <c r="F18" s="165">
        <f t="shared" si="11"/>
        <v>34</v>
      </c>
      <c r="G18" s="165">
        <f t="shared" si="11"/>
        <v>29.66666667</v>
      </c>
      <c r="H18" s="165">
        <f t="shared" si="11"/>
        <v>26.57142857</v>
      </c>
      <c r="I18" s="165">
        <f t="shared" si="11"/>
        <v>28</v>
      </c>
      <c r="J18" s="165">
        <f t="shared" si="11"/>
        <v>25.77777778</v>
      </c>
      <c r="K18" s="171" t="s">
        <v>297</v>
      </c>
      <c r="L18" s="26"/>
      <c r="M18" s="172"/>
      <c r="N18" s="172"/>
      <c r="O18" s="172"/>
      <c r="P18" s="172"/>
      <c r="U18" s="1"/>
      <c r="V18" s="1"/>
    </row>
    <row r="19">
      <c r="A19" s="173" t="str">
        <f>CONCATENATE("UTILIDAD ",TEXT($B$43,"0%"))</f>
        <v>UTILIDAD 30%</v>
      </c>
      <c r="B19" s="174">
        <f t="shared" ref="B19:J19" si="12">IF(B18&lt;=$B$44,$B$44,IF(MROUND(B18 * (1 + $B$43), 5) &gt; $B$44, 0, $B$44))</f>
        <v>0</v>
      </c>
      <c r="C19" s="174">
        <f t="shared" si="12"/>
        <v>0</v>
      </c>
      <c r="D19" s="174">
        <f t="shared" si="12"/>
        <v>35</v>
      </c>
      <c r="E19" s="174">
        <f t="shared" si="12"/>
        <v>35</v>
      </c>
      <c r="F19" s="174">
        <f t="shared" si="12"/>
        <v>35</v>
      </c>
      <c r="G19" s="174">
        <f t="shared" si="12"/>
        <v>35</v>
      </c>
      <c r="H19" s="174">
        <f t="shared" si="12"/>
        <v>35</v>
      </c>
      <c r="I19" s="174">
        <f t="shared" si="12"/>
        <v>35</v>
      </c>
      <c r="J19" s="174">
        <f t="shared" si="12"/>
        <v>35</v>
      </c>
      <c r="K19" s="182" t="str">
        <f>CONCATENATE("Aumentar ",TEXT($B$43,"0%")," de ganancia")</f>
        <v>Aumentar 30% de ganancia</v>
      </c>
      <c r="L19" s="26"/>
      <c r="U19" s="1"/>
      <c r="V19" s="1"/>
    </row>
    <row r="20">
      <c r="A20" s="184" t="s">
        <v>300</v>
      </c>
      <c r="B20" s="187">
        <f t="shared" ref="B20:J20" si="13">IF(B19&lt;=$B$44,IFERROR((B19 - B18) / B18, 0),0)</f>
        <v>-1</v>
      </c>
      <c r="C20" s="187">
        <f t="shared" si="13"/>
        <v>-1</v>
      </c>
      <c r="D20" s="187">
        <f t="shared" si="13"/>
        <v>0.009615384615</v>
      </c>
      <c r="E20" s="187">
        <f t="shared" si="13"/>
        <v>0.25</v>
      </c>
      <c r="F20" s="187">
        <f t="shared" si="13"/>
        <v>0.02941176471</v>
      </c>
      <c r="G20" s="187">
        <f t="shared" si="13"/>
        <v>0.1797752809</v>
      </c>
      <c r="H20" s="187">
        <f t="shared" si="13"/>
        <v>0.3172043011</v>
      </c>
      <c r="I20" s="187">
        <f t="shared" si="13"/>
        <v>0.25</v>
      </c>
      <c r="J20" s="187">
        <f t="shared" si="13"/>
        <v>0.3577586207</v>
      </c>
      <c r="K20" s="188" t="s">
        <v>303</v>
      </c>
      <c r="L20" s="26"/>
      <c r="U20" s="1"/>
      <c r="V20" s="1"/>
    </row>
    <row r="21">
      <c r="A21" s="26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26"/>
      <c r="U21" s="1"/>
      <c r="V21" s="1"/>
    </row>
    <row r="22">
      <c r="A22" s="14" t="s">
        <v>4</v>
      </c>
      <c r="B22" s="21" t="b">
        <v>1</v>
      </c>
      <c r="C22" s="21" t="b">
        <v>1</v>
      </c>
      <c r="D22" s="21" t="b">
        <v>1</v>
      </c>
      <c r="E22" s="21" t="b">
        <v>1</v>
      </c>
      <c r="F22" s="21" t="b">
        <v>1</v>
      </c>
      <c r="G22" s="21" t="b">
        <v>1</v>
      </c>
      <c r="H22" s="21" t="b">
        <v>1</v>
      </c>
      <c r="I22" s="21" t="b">
        <v>1</v>
      </c>
      <c r="J22" s="21" t="b">
        <v>1</v>
      </c>
      <c r="K22" s="2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28" t="s">
        <v>10</v>
      </c>
      <c r="B23" s="29">
        <v>10.0</v>
      </c>
      <c r="C23" s="29">
        <v>11.0</v>
      </c>
      <c r="D23" s="29">
        <v>12.0</v>
      </c>
      <c r="E23" s="29">
        <v>13.0</v>
      </c>
      <c r="F23" s="29">
        <v>14.0</v>
      </c>
      <c r="G23" s="29">
        <v>15.0</v>
      </c>
      <c r="H23" s="29">
        <v>16.0</v>
      </c>
      <c r="I23" s="29">
        <v>24.0</v>
      </c>
      <c r="J23" s="190">
        <v>44.0</v>
      </c>
      <c r="K23" s="191" t="s">
        <v>11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33" t="s">
        <v>14</v>
      </c>
      <c r="B24" s="39">
        <f>IFERROR(__xludf.DUMMYFUNCTION("IF(B22,IFERROR(INDEX(FILTER('DB CONECTOR'!$S$1:$S$8, 'DB CONECTOR'!$N$1:$N$8=$B$45, 'DB CONECTOR'!$R$1:$R$8=$B$46, 'DB CONECTOR'!$Q$1:$Q$8&gt;=B23), 1), 0),IFERROR(INDEX(FILTER('DB CONECTOR'!$T$1:$T$8, 'DB CONECTOR'!$N$1:$N$8=$B$45, 'DB CONECTOR'!$R$1:$R$8=$"&amp;"B$46, 'DB CONECTOR'!$Q$1:$Q$8&gt;=B23), 1), 0))"),120.0)</f>
        <v>120</v>
      </c>
      <c r="C24" s="39">
        <f>IFERROR(__xludf.DUMMYFUNCTION("IFERROR(INDEX(FILTER('DB CONECTOR'!$T$1:$T$8, 'DB CONECTOR'!$N$1:$N$8=$B$45, 'DB CONECTOR'!$R$1:$R$8=$B$46, 'DB CONECTOR'!$Q$1:$Q$8&gt;=C23), 1), 0)"),150.0)</f>
        <v>150</v>
      </c>
      <c r="D24" s="39">
        <f>IFERROR(__xludf.DUMMYFUNCTION("IFERROR(INDEX(FILTER('DB CONECTOR'!$T$1:$T$8, 'DB CONECTOR'!$N$1:$N$8=$B$45, 'DB CONECTOR'!$R$1:$R$8=$B$46, 'DB CONECTOR'!$Q$1:$Q$8&gt;=D23), 1), 0)"),150.0)</f>
        <v>150</v>
      </c>
      <c r="E24" s="39">
        <f>IFERROR(__xludf.DUMMYFUNCTION("IFERROR(INDEX(FILTER('DB CONECTOR'!$T$1:$T$8, 'DB CONECTOR'!$N$1:$N$8=$B$45, 'DB CONECTOR'!$R$1:$R$8=$B$46, 'DB CONECTOR'!$Q$1:$Q$8&gt;=E23), 1), 0)"),180.0)</f>
        <v>180</v>
      </c>
      <c r="F24" s="39">
        <f>IFERROR(__xludf.DUMMYFUNCTION("IFERROR(INDEX(FILTER('DB CONECTOR'!$T$1:$T$8, 'DB CONECTOR'!$N$1:$N$8=$B$45, 'DB CONECTOR'!$R$1:$R$8=$B$46, 'DB CONECTOR'!$Q$1:$Q$8&gt;=F23), 1), 0)"),180.0)</f>
        <v>180</v>
      </c>
      <c r="G24" s="39">
        <f>IFERROR(__xludf.DUMMYFUNCTION("IFERROR(INDEX(FILTER('DB CONECTOR'!$T$1:$T$8, 'DB CONECTOR'!$N$1:$N$8=$B$45, 'DB CONECTOR'!$R$1:$R$8=$B$46, 'DB CONECTOR'!$Q$1:$Q$8&gt;=G23), 1), 0)"),180.0)</f>
        <v>180</v>
      </c>
      <c r="H24" s="39">
        <f>IFERROR(__xludf.DUMMYFUNCTION("IFERROR(INDEX(FILTER('DB CONECTOR'!$T$1:$T$8, 'DB CONECTOR'!$N$1:$N$8=$B$45, 'DB CONECTOR'!$R$1:$R$8=$B$46, 'DB CONECTOR'!$Q$1:$Q$8&gt;=H23), 1), 0)"),180.0)</f>
        <v>180</v>
      </c>
      <c r="I24" s="39">
        <f>IFERROR(__xludf.DUMMYFUNCTION("IFERROR(INDEX(FILTER('DB CONECTOR'!$T$1:$T$8, 'DB CONECTOR'!$N$1:$N$8=$B$45, 'DB CONECTOR'!$R$1:$R$8=$B$46, 'DB CONECTOR'!$Q$1:$Q$8&gt;=I23), 1), 0)"),0.0)</f>
        <v>0</v>
      </c>
      <c r="J24" s="39">
        <f>IFERROR(__xludf.DUMMYFUNCTION("IFERROR(INDEX(FILTER('DB CONECTOR'!$T$1:$T$8, 'DB CONECTOR'!$N$1:$N$8=$B$45, 'DB CONECTOR'!$R$1:$R$8=$B$46, 'DB CONECTOR'!$Q$1:$Q$8&gt;=J23), 1), 0)"),0.0)</f>
        <v>0</v>
      </c>
      <c r="K24" s="194" t="str">
        <f t="shared" ref="K24:K34" si="14">K6</f>
        <v>Combustible + peajes + chofer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33" t="s">
        <v>51</v>
      </c>
      <c r="B25" s="73">
        <f>IF(B23/16&gt;1, IF((SUM(B24, B26:B34) + VLOOKUP($B$46, 'DB CONECTOR'!$K$1:$L$2, 2, FALSE)*2)/B23 &lt;= $B$44, VLOOKUP($B$46, 'DB CONECTOR'!$K$1:$L$2, 2, FALSE)*2, 0), IF((SUM(B24, B26:B34) + VLOOKUP($B$46, 'DB CONECTOR'!$K$1:$L$2, 2, FALSE))/B23 &lt;= $B$44, VLOOKUP($B$46, 'DB CONECTOR'!$K$1:$L$2, 2, FALSE), 0))</f>
        <v>40</v>
      </c>
      <c r="C25" s="73">
        <f>IF(C23/16&gt;1, IF((SUM(C24, C26:C34) + VLOOKUP($B$46, 'DB CONECTOR'!$K$1:$L$2, 2, FALSE)*2)/C23 &lt;= $B$44, VLOOKUP($B$46, 'DB CONECTOR'!$K$1:$L$2, 2, FALSE)*2, 0), IF((SUM(C24, C26:C34) + VLOOKUP($B$46, 'DB CONECTOR'!$K$1:$L$2, 2, FALSE))/C23 &lt;= $B$44, VLOOKUP($B$46, 'DB CONECTOR'!$K$1:$L$2, 2, FALSE), 0))</f>
        <v>40</v>
      </c>
      <c r="D25" s="73">
        <f>IF(D23/16&gt;1, IF((SUM(D24, D26:D34) + VLOOKUP($B$46, 'DB CONECTOR'!$K$1:$L$2, 2, FALSE)*2)/D23 &lt;= $B$44, VLOOKUP($B$46, 'DB CONECTOR'!$K$1:$L$2, 2, FALSE)*2, 0), IF((SUM(D24, D26:D34) + VLOOKUP($B$46, 'DB CONECTOR'!$K$1:$L$2, 2, FALSE))/D23 &lt;= $B$44, VLOOKUP($B$46, 'DB CONECTOR'!$K$1:$L$2, 2, FALSE), 0))</f>
        <v>40</v>
      </c>
      <c r="E25" s="73">
        <f>IF(E23/16&gt;1, IF((SUM(E24, E26:E34) + VLOOKUP($B$46, 'DB CONECTOR'!$K$1:$L$2, 2, FALSE)*2)/E23 &lt;= $B$44, VLOOKUP($B$46, 'DB CONECTOR'!$K$1:$L$2, 2, FALSE)*2, 0), IF((SUM(E24, E26:E34) + VLOOKUP($B$46, 'DB CONECTOR'!$K$1:$L$2, 2, FALSE))/E23 &lt;= $B$44, VLOOKUP($B$46, 'DB CONECTOR'!$K$1:$L$2, 2, FALSE), 0))</f>
        <v>40</v>
      </c>
      <c r="F25" s="73">
        <f>IF(F23/16&gt;1, IF((SUM(F24, F26:F34) + VLOOKUP($B$46, 'DB CONECTOR'!$K$1:$L$2, 2, FALSE)*2)/F23 &lt;= $B$44, VLOOKUP($B$46, 'DB CONECTOR'!$K$1:$L$2, 2, FALSE)*2, 0), IF((SUM(F24, F26:F34) + VLOOKUP($B$46, 'DB CONECTOR'!$K$1:$L$2, 2, FALSE))/F23 &lt;= $B$44, VLOOKUP($B$46, 'DB CONECTOR'!$K$1:$L$2, 2, FALSE), 0))</f>
        <v>40</v>
      </c>
      <c r="G25" s="73">
        <f>IF(G23/16&gt;1, IF((SUM(G24, G26:G34) + VLOOKUP($B$46, 'DB CONECTOR'!$K$1:$L$2, 2, FALSE)*2)/G23 &lt;= $B$44, VLOOKUP($B$46, 'DB CONECTOR'!$K$1:$L$2, 2, FALSE)*2, 0), IF((SUM(G24, G26:G34) + VLOOKUP($B$46, 'DB CONECTOR'!$K$1:$L$2, 2, FALSE))/G23 &lt;= $B$44, VLOOKUP($B$46, 'DB CONECTOR'!$K$1:$L$2, 2, FALSE), 0))</f>
        <v>40</v>
      </c>
      <c r="H25" s="73">
        <f>IF(H23/16&gt;1, IF((SUM(H24, H26:H34) + VLOOKUP($B$46, 'DB CONECTOR'!$K$1:$L$2, 2, FALSE)*2)/H23 &lt;= $B$44, VLOOKUP($B$46, 'DB CONECTOR'!$K$1:$L$2, 2, FALSE)*2, 0), IF((SUM(H24, H26:H34) + VLOOKUP($B$46, 'DB CONECTOR'!$K$1:$L$2, 2, FALSE))/H23 &lt;= $B$44, VLOOKUP($B$46, 'DB CONECTOR'!$K$1:$L$2, 2, FALSE), 0))</f>
        <v>40</v>
      </c>
      <c r="I25" s="73">
        <f>IF(I23/16&gt;1, IF((SUM(I24, I26:I34) + VLOOKUP($B$46, 'DB CONECTOR'!$K$1:$L$2, 2, FALSE)*2)/I23 &lt;= $B$44, VLOOKUP($B$46, 'DB CONECTOR'!$K$1:$L$2, 2, FALSE)*2, 0), IF((SUM(I24, I26:I34) + VLOOKUP($B$46, 'DB CONECTOR'!$K$1:$L$2, 2, FALSE))/I23 &lt;= $B$44, VLOOKUP($B$46, 'DB CONECTOR'!$K$1:$L$2, 2, FALSE), 0))</f>
        <v>80</v>
      </c>
      <c r="J25" s="73">
        <f>IF(J23/16&gt;1, IF((SUM(J24, J26:J34) + VLOOKUP($B$46, 'DB CONECTOR'!$K$1:$L$2, 2, FALSE)*2)/J23 &lt;= $B$44, VLOOKUP($B$46, 'DB CONECTOR'!$K$1:$L$2, 2, FALSE)*2, 0), IF((SUM(J24, J26:J34) + VLOOKUP($B$46, 'DB CONECTOR'!$K$1:$L$2, 2, FALSE))/J23 &lt;= $B$44, VLOOKUP($B$46, 'DB CONECTOR'!$K$1:$L$2, 2, FALSE), 0))</f>
        <v>80</v>
      </c>
      <c r="K25" s="194" t="str">
        <f t="shared" si="14"/>
        <v>Tipo: Naturalista acreditado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17" t="s">
        <v>215</v>
      </c>
      <c r="B26" s="123">
        <f t="shared" ref="B26:J26" si="15">$B$8*B23</f>
        <v>80</v>
      </c>
      <c r="C26" s="123">
        <f t="shared" si="15"/>
        <v>88</v>
      </c>
      <c r="D26" s="123">
        <f t="shared" si="15"/>
        <v>96</v>
      </c>
      <c r="E26" s="123">
        <f t="shared" si="15"/>
        <v>104</v>
      </c>
      <c r="F26" s="123">
        <f t="shared" si="15"/>
        <v>112</v>
      </c>
      <c r="G26" s="123">
        <f t="shared" si="15"/>
        <v>120</v>
      </c>
      <c r="H26" s="123">
        <f t="shared" si="15"/>
        <v>128</v>
      </c>
      <c r="I26" s="123">
        <f t="shared" si="15"/>
        <v>192</v>
      </c>
      <c r="J26" s="123">
        <f t="shared" si="15"/>
        <v>352</v>
      </c>
      <c r="K26" s="194" t="str">
        <f t="shared" si="14"/>
        <v>Entradas a reserva / atractivo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17" t="s">
        <v>228</v>
      </c>
      <c r="B27" s="123">
        <f t="shared" ref="B27:E27" si="16">$B$9*B23</f>
        <v>0</v>
      </c>
      <c r="C27" s="123">
        <f t="shared" si="16"/>
        <v>0</v>
      </c>
      <c r="D27" s="123">
        <f t="shared" si="16"/>
        <v>0</v>
      </c>
      <c r="E27" s="123">
        <f t="shared" si="16"/>
        <v>0</v>
      </c>
      <c r="F27" s="123">
        <f>$B$8*F23</f>
        <v>112</v>
      </c>
      <c r="G27" s="123">
        <f t="shared" ref="G27:J27" si="17">$B$14*G23</f>
        <v>0</v>
      </c>
      <c r="H27" s="123">
        <f t="shared" si="17"/>
        <v>0</v>
      </c>
      <c r="I27" s="123">
        <f t="shared" si="17"/>
        <v>0</v>
      </c>
      <c r="J27" s="123">
        <f t="shared" si="17"/>
        <v>0</v>
      </c>
      <c r="K27" s="194" t="str">
        <f t="shared" si="14"/>
        <v>Juegos, Recreaciones, Etc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17" t="s">
        <v>234</v>
      </c>
      <c r="B28" s="123">
        <f t="shared" ref="B28:E28" si="18">$B$10*B23</f>
        <v>0</v>
      </c>
      <c r="C28" s="123">
        <f t="shared" si="18"/>
        <v>0</v>
      </c>
      <c r="D28" s="123">
        <f t="shared" si="18"/>
        <v>0</v>
      </c>
      <c r="E28" s="123">
        <f t="shared" si="18"/>
        <v>0</v>
      </c>
      <c r="F28" s="123">
        <f>$B$9*F23</f>
        <v>0</v>
      </c>
      <c r="G28" s="123">
        <f t="shared" ref="G28:J28" si="19">$B$15*G23</f>
        <v>0</v>
      </c>
      <c r="H28" s="123">
        <f t="shared" si="19"/>
        <v>0</v>
      </c>
      <c r="I28" s="123">
        <f t="shared" si="19"/>
        <v>0</v>
      </c>
      <c r="J28" s="123">
        <f t="shared" si="19"/>
        <v>0</v>
      </c>
      <c r="K28" s="194" t="str">
        <f t="shared" si="14"/>
        <v>Pastillas para el mareo, estomago y demas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17" t="s">
        <v>244</v>
      </c>
      <c r="B29" s="123">
        <f t="shared" ref="B29:E29" si="20">$B$11*B23</f>
        <v>0</v>
      </c>
      <c r="C29" s="123">
        <f t="shared" si="20"/>
        <v>0</v>
      </c>
      <c r="D29" s="123">
        <f t="shared" si="20"/>
        <v>0</v>
      </c>
      <c r="E29" s="216">
        <f t="shared" si="20"/>
        <v>0</v>
      </c>
      <c r="F29" s="216">
        <f>$B$10*F23</f>
        <v>0</v>
      </c>
      <c r="G29" s="216">
        <f t="shared" ref="G29:J29" si="21">$B$16*G23</f>
        <v>0</v>
      </c>
      <c r="H29" s="216">
        <f t="shared" si="21"/>
        <v>0</v>
      </c>
      <c r="I29" s="216">
        <f t="shared" si="21"/>
        <v>0</v>
      </c>
      <c r="J29" s="216">
        <f t="shared" si="21"/>
        <v>0</v>
      </c>
      <c r="K29" s="194" t="str">
        <f t="shared" si="14"/>
        <v>Kit de Dulces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17" t="s">
        <v>254</v>
      </c>
      <c r="B30" s="123">
        <f t="shared" ref="B30:J30" si="22">$B$12*B23</f>
        <v>0</v>
      </c>
      <c r="C30" s="123">
        <f t="shared" si="22"/>
        <v>0</v>
      </c>
      <c r="D30" s="123">
        <f t="shared" si="22"/>
        <v>0</v>
      </c>
      <c r="E30" s="216">
        <f t="shared" si="22"/>
        <v>0</v>
      </c>
      <c r="F30" s="216">
        <f t="shared" si="22"/>
        <v>0</v>
      </c>
      <c r="G30" s="216">
        <f t="shared" si="22"/>
        <v>0</v>
      </c>
      <c r="H30" s="216">
        <f t="shared" si="22"/>
        <v>0</v>
      </c>
      <c r="I30" s="216">
        <f t="shared" si="22"/>
        <v>0</v>
      </c>
      <c r="J30" s="216">
        <f t="shared" si="22"/>
        <v>0</v>
      </c>
      <c r="K30" s="194" t="str">
        <f t="shared" si="14"/>
        <v>Botella de Agua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17" t="s">
        <v>256</v>
      </c>
      <c r="B31" s="123">
        <f t="shared" ref="B31:J31" si="23">$B$13*B23</f>
        <v>0</v>
      </c>
      <c r="C31" s="123">
        <f t="shared" si="23"/>
        <v>0</v>
      </c>
      <c r="D31" s="123">
        <f t="shared" si="23"/>
        <v>0</v>
      </c>
      <c r="E31" s="216">
        <f t="shared" si="23"/>
        <v>0</v>
      </c>
      <c r="F31" s="216">
        <f t="shared" si="23"/>
        <v>0</v>
      </c>
      <c r="G31" s="216">
        <f t="shared" si="23"/>
        <v>0</v>
      </c>
      <c r="H31" s="216">
        <f t="shared" si="23"/>
        <v>0</v>
      </c>
      <c r="I31" s="216">
        <f t="shared" si="23"/>
        <v>0</v>
      </c>
      <c r="J31" s="216">
        <f t="shared" si="23"/>
        <v>0</v>
      </c>
      <c r="K31" s="194" t="str">
        <f t="shared" si="14"/>
        <v>Alimentacion si esta incluida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33" t="s">
        <v>258</v>
      </c>
      <c r="B32" s="123">
        <f t="shared" ref="B32:J32" si="24">$B$14*B23</f>
        <v>0</v>
      </c>
      <c r="C32" s="123">
        <f t="shared" si="24"/>
        <v>0</v>
      </c>
      <c r="D32" s="123">
        <f t="shared" si="24"/>
        <v>0</v>
      </c>
      <c r="E32" s="216">
        <f t="shared" si="24"/>
        <v>0</v>
      </c>
      <c r="F32" s="216">
        <f t="shared" si="24"/>
        <v>0</v>
      </c>
      <c r="G32" s="216">
        <f t="shared" si="24"/>
        <v>0</v>
      </c>
      <c r="H32" s="216">
        <f t="shared" si="24"/>
        <v>0</v>
      </c>
      <c r="I32" s="216">
        <f t="shared" si="24"/>
        <v>0</v>
      </c>
      <c r="J32" s="216">
        <f t="shared" si="24"/>
        <v>0</v>
      </c>
      <c r="K32" s="194" t="str">
        <f t="shared" si="14"/>
        <v>Valor del seguro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17" t="s">
        <v>260</v>
      </c>
      <c r="B33" s="123">
        <f t="shared" ref="B33:J33" si="25">$B$15*B23</f>
        <v>0</v>
      </c>
      <c r="C33" s="123">
        <f t="shared" si="25"/>
        <v>0</v>
      </c>
      <c r="D33" s="123">
        <f t="shared" si="25"/>
        <v>0</v>
      </c>
      <c r="E33" s="216">
        <f t="shared" si="25"/>
        <v>0</v>
      </c>
      <c r="F33" s="216">
        <f t="shared" si="25"/>
        <v>0</v>
      </c>
      <c r="G33" s="216">
        <f t="shared" si="25"/>
        <v>0</v>
      </c>
      <c r="H33" s="216">
        <f t="shared" si="25"/>
        <v>0</v>
      </c>
      <c r="I33" s="216">
        <f t="shared" si="25"/>
        <v>0</v>
      </c>
      <c r="J33" s="216">
        <f t="shared" si="25"/>
        <v>0</v>
      </c>
      <c r="K33" s="194" t="str">
        <f t="shared" si="14"/>
        <v>Costo de la patente por pax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48" t="s">
        <v>268</v>
      </c>
      <c r="B34" s="123">
        <f t="shared" ref="B34:J34" si="26">$B$16*B23</f>
        <v>0</v>
      </c>
      <c r="C34" s="123">
        <f t="shared" si="26"/>
        <v>0</v>
      </c>
      <c r="D34" s="123">
        <f t="shared" si="26"/>
        <v>0</v>
      </c>
      <c r="E34" s="216">
        <f t="shared" si="26"/>
        <v>0</v>
      </c>
      <c r="F34" s="216">
        <f t="shared" si="26"/>
        <v>0</v>
      </c>
      <c r="G34" s="216">
        <f t="shared" si="26"/>
        <v>0</v>
      </c>
      <c r="H34" s="216">
        <f t="shared" si="26"/>
        <v>0</v>
      </c>
      <c r="I34" s="216">
        <f t="shared" si="26"/>
        <v>0</v>
      </c>
      <c r="J34" s="216">
        <f t="shared" si="26"/>
        <v>0</v>
      </c>
      <c r="K34" s="223" t="str">
        <f t="shared" si="14"/>
        <v>Admin 15%, Marketing 10%, Tech 5%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55" t="s">
        <v>314</v>
      </c>
      <c r="B35" s="159">
        <f t="shared" ref="B35:J35" si="27">SUM(B24:B34)</f>
        <v>240</v>
      </c>
      <c r="C35" s="159">
        <f t="shared" si="27"/>
        <v>278</v>
      </c>
      <c r="D35" s="159">
        <f t="shared" si="27"/>
        <v>286</v>
      </c>
      <c r="E35" s="159">
        <f t="shared" si="27"/>
        <v>324</v>
      </c>
      <c r="F35" s="159">
        <f t="shared" si="27"/>
        <v>444</v>
      </c>
      <c r="G35" s="159">
        <f t="shared" si="27"/>
        <v>340</v>
      </c>
      <c r="H35" s="159">
        <f t="shared" si="27"/>
        <v>348</v>
      </c>
      <c r="I35" s="159">
        <f t="shared" si="27"/>
        <v>272</v>
      </c>
      <c r="J35" s="159">
        <f t="shared" si="27"/>
        <v>432</v>
      </c>
      <c r="K35" s="227" t="s">
        <v>293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63" t="s">
        <v>294</v>
      </c>
      <c r="B36" s="165">
        <f t="shared" ref="B36:J36" si="28">B35/B23</f>
        <v>24</v>
      </c>
      <c r="C36" s="165">
        <f t="shared" si="28"/>
        <v>25.27272727</v>
      </c>
      <c r="D36" s="165">
        <f t="shared" si="28"/>
        <v>23.83333333</v>
      </c>
      <c r="E36" s="165">
        <f t="shared" si="28"/>
        <v>24.92307692</v>
      </c>
      <c r="F36" s="165">
        <f t="shared" si="28"/>
        <v>31.71428571</v>
      </c>
      <c r="G36" s="165">
        <f t="shared" si="28"/>
        <v>22.66666667</v>
      </c>
      <c r="H36" s="165">
        <f t="shared" si="28"/>
        <v>21.75</v>
      </c>
      <c r="I36" s="165">
        <f t="shared" si="28"/>
        <v>11.33333333</v>
      </c>
      <c r="J36" s="165">
        <f t="shared" si="28"/>
        <v>9.818181818</v>
      </c>
      <c r="K36" s="231" t="s">
        <v>297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73" t="str">
        <f>CONCATENATE("UTILIDAD ",TEXT($B$43,"0%"))</f>
        <v>UTILIDAD 30%</v>
      </c>
      <c r="B37" s="174">
        <f t="shared" ref="B37:J37" si="29">IF(B36&lt;=$B$44,$B$44,IF(MROUND(B36 * (1 + $B$43), 5) &gt; $B$44, 0, $B$44))</f>
        <v>35</v>
      </c>
      <c r="C37" s="174">
        <f t="shared" si="29"/>
        <v>35</v>
      </c>
      <c r="D37" s="174">
        <f t="shared" si="29"/>
        <v>35</v>
      </c>
      <c r="E37" s="174">
        <f t="shared" si="29"/>
        <v>35</v>
      </c>
      <c r="F37" s="174">
        <f t="shared" si="29"/>
        <v>35</v>
      </c>
      <c r="G37" s="174">
        <f t="shared" si="29"/>
        <v>35</v>
      </c>
      <c r="H37" s="174">
        <f t="shared" si="29"/>
        <v>35</v>
      </c>
      <c r="I37" s="174">
        <f t="shared" si="29"/>
        <v>35</v>
      </c>
      <c r="J37" s="174">
        <f t="shared" si="29"/>
        <v>35</v>
      </c>
      <c r="K37" s="232" t="str">
        <f>CONCATENATE("Aumentar ",TEXT($B$43,"0%")," de ganancia")</f>
        <v>Aumentar 30% de ganancia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84" t="s">
        <v>300</v>
      </c>
      <c r="B38" s="187">
        <f>IF(B37&lt;=$B$44,IFERROR((B37 - B36) / B36, 0),0)</f>
        <v>0.4583333333</v>
      </c>
      <c r="C38" s="187">
        <f t="shared" ref="C38:J38" si="30">IF(C37&lt;=$B$43,IFERROR((C37 - C36) / C36, 0),0)</f>
        <v>0</v>
      </c>
      <c r="D38" s="187">
        <f t="shared" si="30"/>
        <v>0</v>
      </c>
      <c r="E38" s="187">
        <f t="shared" si="30"/>
        <v>0</v>
      </c>
      <c r="F38" s="187">
        <f t="shared" si="30"/>
        <v>0</v>
      </c>
      <c r="G38" s="187">
        <f t="shared" si="30"/>
        <v>0</v>
      </c>
      <c r="H38" s="187">
        <f t="shared" si="30"/>
        <v>0</v>
      </c>
      <c r="I38" s="187">
        <f t="shared" si="30"/>
        <v>0</v>
      </c>
      <c r="J38" s="187">
        <f t="shared" si="30"/>
        <v>0</v>
      </c>
      <c r="K38" s="234" t="s">
        <v>303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C39" s="2"/>
      <c r="D39" s="2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235" t="s">
        <v>322</v>
      </c>
      <c r="B42" s="50"/>
      <c r="C42" s="50"/>
      <c r="D42" s="2"/>
      <c r="E42" s="236"/>
      <c r="J42" s="236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237" t="s">
        <v>324</v>
      </c>
      <c r="B43" s="238">
        <v>0.3</v>
      </c>
      <c r="C43" s="45"/>
      <c r="D43" s="2"/>
      <c r="E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237" t="s">
        <v>325</v>
      </c>
      <c r="B44" s="239">
        <v>35.0</v>
      </c>
      <c r="C44" s="45"/>
      <c r="D44" s="2"/>
      <c r="E44" s="240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241" t="s">
        <v>327</v>
      </c>
      <c r="B45" s="242" t="s">
        <v>328</v>
      </c>
      <c r="C45" s="45"/>
      <c r="D45" s="2"/>
      <c r="E45" s="240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243" t="s">
        <v>330</v>
      </c>
      <c r="B46" s="244" t="str">
        <f>'FICHA TÉCNICA'!F3</f>
        <v>4 Horas</v>
      </c>
      <c r="C46" s="45"/>
      <c r="D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2"/>
      <c r="C47" s="2"/>
      <c r="D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2"/>
      <c r="C48" s="2"/>
      <c r="D48" s="2"/>
      <c r="E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2"/>
      <c r="C49" s="2"/>
      <c r="D49" s="2"/>
      <c r="E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2"/>
      <c r="C50" s="2"/>
      <c r="D50" s="2"/>
      <c r="E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2"/>
      <c r="C51" s="2"/>
      <c r="D51" s="2"/>
      <c r="E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B92" s="240"/>
      <c r="C92" s="240"/>
      <c r="D92" s="240"/>
      <c r="E92" s="240"/>
      <c r="F92" s="240"/>
      <c r="G92" s="240"/>
      <c r="H92" s="240"/>
      <c r="I92" s="240"/>
      <c r="J92" s="240"/>
      <c r="K92" s="240"/>
    </row>
    <row r="93">
      <c r="B93" s="240"/>
      <c r="C93" s="240"/>
      <c r="D93" s="240"/>
      <c r="E93" s="240"/>
      <c r="F93" s="240"/>
      <c r="G93" s="240"/>
      <c r="H93" s="240"/>
      <c r="I93" s="240"/>
      <c r="J93" s="240"/>
      <c r="K93" s="240"/>
    </row>
    <row r="94">
      <c r="B94" s="240"/>
      <c r="C94" s="240"/>
      <c r="D94" s="240"/>
      <c r="E94" s="240"/>
      <c r="F94" s="240"/>
      <c r="G94" s="240"/>
      <c r="H94" s="240"/>
      <c r="I94" s="240"/>
      <c r="J94" s="240"/>
      <c r="K94" s="240"/>
    </row>
    <row r="95">
      <c r="B95" s="240"/>
      <c r="C95" s="240"/>
      <c r="D95" s="240"/>
      <c r="E95" s="240"/>
      <c r="F95" s="240"/>
      <c r="G95" s="240"/>
      <c r="H95" s="240"/>
      <c r="I95" s="240"/>
      <c r="J95" s="240"/>
      <c r="K95" s="240"/>
    </row>
    <row r="96">
      <c r="B96" s="240"/>
      <c r="C96" s="240"/>
      <c r="D96" s="240"/>
      <c r="E96" s="240"/>
      <c r="F96" s="240"/>
      <c r="G96" s="240"/>
      <c r="H96" s="240"/>
      <c r="I96" s="240"/>
      <c r="J96" s="240"/>
      <c r="K96" s="240"/>
    </row>
    <row r="97">
      <c r="B97" s="240"/>
      <c r="C97" s="240"/>
      <c r="D97" s="240"/>
      <c r="E97" s="240"/>
      <c r="F97" s="240"/>
      <c r="G97" s="240"/>
      <c r="H97" s="240"/>
      <c r="I97" s="240"/>
      <c r="J97" s="240"/>
      <c r="K97" s="240"/>
    </row>
    <row r="98">
      <c r="B98" s="240"/>
      <c r="C98" s="240"/>
      <c r="D98" s="240"/>
      <c r="E98" s="240"/>
      <c r="F98" s="240"/>
      <c r="G98" s="240"/>
      <c r="H98" s="240"/>
      <c r="I98" s="240"/>
      <c r="J98" s="240"/>
      <c r="K98" s="240"/>
    </row>
    <row r="99">
      <c r="B99" s="240"/>
      <c r="C99" s="240"/>
      <c r="D99" s="240"/>
      <c r="E99" s="240"/>
      <c r="F99" s="240"/>
      <c r="G99" s="240"/>
      <c r="H99" s="240"/>
      <c r="I99" s="240"/>
      <c r="J99" s="240"/>
      <c r="K99" s="240"/>
    </row>
    <row r="100"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</row>
    <row r="101"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</row>
    <row r="102"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</row>
    <row r="103"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</row>
    <row r="104"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</row>
    <row r="105"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</row>
    <row r="106"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</row>
    <row r="107"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</row>
    <row r="108"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</row>
    <row r="109"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</row>
    <row r="110"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</row>
    <row r="111"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</row>
    <row r="112"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</row>
    <row r="113"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</row>
    <row r="114"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</row>
    <row r="115"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</row>
    <row r="116"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</row>
    <row r="117"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</row>
    <row r="118"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</row>
    <row r="119"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</row>
    <row r="120"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</row>
    <row r="121"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</row>
    <row r="122"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</row>
    <row r="123"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</row>
    <row r="124"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</row>
    <row r="125"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</row>
    <row r="126"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</row>
    <row r="127"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</row>
    <row r="128"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</row>
    <row r="129"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</row>
    <row r="130"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</row>
    <row r="131"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</row>
    <row r="132"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</row>
    <row r="133"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</row>
    <row r="134"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</row>
    <row r="135"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</row>
    <row r="136"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</row>
    <row r="137"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</row>
    <row r="138"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</row>
    <row r="139"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</row>
    <row r="140"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</row>
    <row r="141"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</row>
    <row r="142"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</row>
    <row r="143"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</row>
    <row r="144"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</row>
    <row r="145"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</row>
    <row r="146"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</row>
    <row r="147"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</row>
    <row r="148"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</row>
    <row r="149"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</row>
    <row r="150"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</row>
    <row r="151"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</row>
    <row r="152"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</row>
    <row r="153"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</row>
    <row r="154"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</row>
    <row r="155"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</row>
    <row r="156"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</row>
    <row r="157"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</row>
    <row r="158"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</row>
    <row r="159"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</row>
    <row r="160"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</row>
    <row r="161"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</row>
    <row r="162"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</row>
    <row r="163"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</row>
    <row r="164"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</row>
    <row r="165"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</row>
    <row r="166"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</row>
    <row r="167"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</row>
    <row r="168"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</row>
    <row r="169"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</row>
    <row r="170"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</row>
    <row r="171"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</row>
    <row r="172"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</row>
    <row r="173"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</row>
    <row r="174"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</row>
    <row r="175"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</row>
    <row r="176"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</row>
    <row r="177"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</row>
    <row r="178"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</row>
    <row r="179"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</row>
    <row r="180"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</row>
    <row r="181"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</row>
    <row r="182"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</row>
    <row r="183"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</row>
    <row r="184"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</row>
    <row r="185"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</row>
    <row r="186"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</row>
    <row r="187"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</row>
    <row r="188"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</row>
    <row r="189"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</row>
    <row r="190"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</row>
    <row r="191"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</row>
    <row r="192"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</row>
    <row r="193"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</row>
    <row r="194"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</row>
    <row r="195"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</row>
    <row r="196"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</row>
    <row r="197"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</row>
    <row r="198"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</row>
    <row r="199"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</row>
    <row r="200"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</row>
    <row r="201"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</row>
    <row r="202"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</row>
    <row r="203"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</row>
    <row r="204"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</row>
    <row r="205"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</row>
    <row r="206"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</row>
    <row r="207"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</row>
    <row r="208"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</row>
    <row r="209"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</row>
    <row r="210"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</row>
    <row r="211"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</row>
    <row r="212"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</row>
    <row r="213"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</row>
    <row r="214"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</row>
    <row r="215"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</row>
    <row r="216"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</row>
    <row r="217"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</row>
    <row r="218"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</row>
    <row r="219"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</row>
    <row r="220"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</row>
    <row r="221"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</row>
    <row r="222"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</row>
    <row r="223"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</row>
    <row r="224"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</row>
    <row r="225"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</row>
    <row r="226"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</row>
    <row r="227"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</row>
    <row r="228"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</row>
    <row r="229"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</row>
    <row r="230"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</row>
    <row r="231"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</row>
    <row r="232"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</row>
    <row r="233"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</row>
    <row r="234"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</row>
    <row r="235"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</row>
    <row r="236"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</row>
    <row r="237"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</row>
    <row r="238"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</row>
    <row r="239"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</row>
    <row r="240"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</row>
    <row r="241"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</row>
    <row r="242"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</row>
    <row r="243"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</row>
    <row r="244"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</row>
    <row r="245"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</row>
    <row r="246"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</row>
    <row r="247"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</row>
    <row r="248"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</row>
    <row r="249"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</row>
    <row r="250"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</row>
    <row r="251"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</row>
    <row r="252"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</row>
    <row r="253"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</row>
    <row r="254"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</row>
    <row r="255"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</row>
    <row r="256"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</row>
    <row r="257"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</row>
    <row r="258"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</row>
    <row r="259"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</row>
    <row r="260"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</row>
    <row r="261"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</row>
    <row r="262"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</row>
    <row r="263"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</row>
    <row r="264"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</row>
    <row r="265"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</row>
    <row r="266"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</row>
    <row r="267"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</row>
    <row r="268"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</row>
    <row r="269"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</row>
    <row r="270"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</row>
    <row r="271"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</row>
    <row r="272"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</row>
    <row r="273"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</row>
    <row r="274"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</row>
    <row r="275"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</row>
    <row r="276"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</row>
    <row r="277"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</row>
    <row r="278"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</row>
    <row r="279"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</row>
    <row r="280"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</row>
    <row r="281"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</row>
    <row r="282"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</row>
    <row r="283"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</row>
    <row r="284"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</row>
    <row r="285"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</row>
    <row r="286"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</row>
    <row r="287"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</row>
    <row r="288"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</row>
    <row r="289"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</row>
    <row r="290"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</row>
    <row r="291"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</row>
    <row r="292"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</row>
    <row r="293"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</row>
    <row r="294"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</row>
    <row r="295"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</row>
    <row r="296"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</row>
    <row r="297"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</row>
    <row r="298"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</row>
    <row r="299"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</row>
    <row r="300"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</row>
    <row r="301"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</row>
    <row r="302"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</row>
    <row r="303"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</row>
    <row r="304"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</row>
    <row r="305"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</row>
    <row r="306"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</row>
    <row r="307"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</row>
    <row r="308"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</row>
    <row r="309"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</row>
    <row r="310"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</row>
    <row r="311"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</row>
    <row r="312"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</row>
    <row r="313"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</row>
    <row r="314"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</row>
    <row r="315"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</row>
    <row r="316"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</row>
    <row r="317"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</row>
    <row r="318"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</row>
    <row r="319"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</row>
    <row r="320"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</row>
    <row r="321"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</row>
    <row r="322"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</row>
    <row r="323"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</row>
    <row r="324"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</row>
    <row r="325"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</row>
    <row r="326"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</row>
    <row r="327"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</row>
    <row r="328"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</row>
    <row r="329"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</row>
    <row r="330"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</row>
    <row r="331"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</row>
    <row r="332"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</row>
    <row r="333"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</row>
    <row r="334"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</row>
    <row r="335"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</row>
    <row r="336"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</row>
    <row r="337"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</row>
    <row r="338"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</row>
    <row r="339"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</row>
    <row r="340"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</row>
    <row r="341"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</row>
    <row r="342"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</row>
    <row r="343"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</row>
    <row r="344"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</row>
    <row r="345"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</row>
    <row r="346"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</row>
    <row r="347"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</row>
    <row r="348"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</row>
    <row r="349"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</row>
    <row r="350"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</row>
    <row r="351"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</row>
    <row r="352"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</row>
    <row r="353"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</row>
    <row r="354"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</row>
    <row r="355"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</row>
    <row r="356"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</row>
    <row r="357"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</row>
    <row r="358"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</row>
    <row r="359"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</row>
    <row r="360"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</row>
    <row r="361"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</row>
    <row r="362"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</row>
    <row r="363"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</row>
    <row r="364"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</row>
    <row r="365"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</row>
    <row r="366"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</row>
    <row r="367"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</row>
    <row r="368"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</row>
    <row r="369"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</row>
    <row r="370"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</row>
    <row r="371"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</row>
    <row r="372"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</row>
    <row r="373"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</row>
    <row r="374"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</row>
    <row r="375"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</row>
    <row r="376"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</row>
    <row r="377"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</row>
    <row r="378"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</row>
    <row r="379"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</row>
    <row r="380"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</row>
    <row r="381"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</row>
    <row r="382"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</row>
    <row r="383"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</row>
    <row r="384"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</row>
    <row r="385"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</row>
    <row r="386"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</row>
    <row r="387"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</row>
    <row r="388"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</row>
    <row r="389"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</row>
    <row r="390"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</row>
    <row r="391"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</row>
    <row r="392"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</row>
    <row r="393"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</row>
    <row r="394"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</row>
    <row r="395"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</row>
    <row r="396"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</row>
    <row r="397"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</row>
    <row r="398"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</row>
    <row r="399"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</row>
    <row r="400"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</row>
    <row r="401"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</row>
    <row r="402"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</row>
    <row r="403"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</row>
    <row r="404"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</row>
    <row r="405"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</row>
    <row r="406"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</row>
    <row r="407"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</row>
    <row r="408"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</row>
    <row r="409"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</row>
    <row r="410"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</row>
    <row r="411"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</row>
    <row r="412"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</row>
    <row r="413"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</row>
    <row r="414"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</row>
    <row r="415"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</row>
    <row r="416"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</row>
    <row r="417"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</row>
    <row r="418"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</row>
    <row r="419"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</row>
    <row r="420"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</row>
    <row r="421"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</row>
    <row r="422"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</row>
    <row r="423"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</row>
    <row r="424"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</row>
    <row r="425"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</row>
    <row r="426"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</row>
    <row r="427"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</row>
    <row r="428"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</row>
    <row r="429"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</row>
    <row r="430"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</row>
    <row r="431"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</row>
    <row r="432"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</row>
    <row r="433"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</row>
    <row r="434"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</row>
    <row r="435"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</row>
    <row r="436"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</row>
    <row r="437"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</row>
    <row r="438"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</row>
    <row r="439"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</row>
    <row r="440"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</row>
    <row r="441"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</row>
    <row r="442"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</row>
    <row r="443"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</row>
    <row r="444"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</row>
    <row r="445"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</row>
    <row r="446"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</row>
    <row r="447"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</row>
    <row r="448"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</row>
    <row r="449"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</row>
    <row r="450"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</row>
    <row r="451"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</row>
    <row r="452"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</row>
    <row r="453"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</row>
    <row r="454"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</row>
    <row r="455"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</row>
    <row r="456"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</row>
    <row r="457"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</row>
    <row r="458"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</row>
    <row r="459"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</row>
    <row r="460"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</row>
    <row r="461"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</row>
    <row r="462"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</row>
    <row r="463"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</row>
    <row r="464"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</row>
    <row r="465"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</row>
    <row r="466"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</row>
    <row r="467"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</row>
    <row r="468"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</row>
    <row r="469"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</row>
    <row r="470"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</row>
    <row r="471"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</row>
    <row r="472"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</row>
    <row r="473"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</row>
    <row r="474"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</row>
    <row r="475"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</row>
    <row r="476"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</row>
    <row r="477"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</row>
    <row r="478"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</row>
    <row r="479"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</row>
    <row r="480"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</row>
    <row r="481"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</row>
    <row r="482"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</row>
    <row r="483"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</row>
    <row r="484"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</row>
    <row r="485"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</row>
    <row r="486"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</row>
    <row r="487"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</row>
    <row r="488"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</row>
    <row r="489"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</row>
    <row r="490"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</row>
    <row r="491"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</row>
    <row r="492"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</row>
    <row r="493"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</row>
    <row r="494"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</row>
    <row r="495"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</row>
    <row r="496"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</row>
    <row r="497"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</row>
    <row r="498"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</row>
    <row r="499"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</row>
    <row r="500"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</row>
    <row r="501"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</row>
    <row r="502"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</row>
    <row r="503"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</row>
    <row r="504"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</row>
    <row r="505"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</row>
    <row r="506"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</row>
    <row r="507"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</row>
    <row r="508"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</row>
    <row r="509"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</row>
    <row r="510"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</row>
    <row r="511"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</row>
    <row r="512"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</row>
    <row r="513"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</row>
    <row r="514"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</row>
    <row r="515"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</row>
    <row r="516"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</row>
    <row r="517"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</row>
    <row r="518"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</row>
    <row r="519"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</row>
    <row r="520"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</row>
    <row r="521"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</row>
    <row r="522"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</row>
    <row r="523"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</row>
    <row r="524"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</row>
    <row r="525"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</row>
    <row r="526"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</row>
    <row r="527"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</row>
    <row r="528"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</row>
    <row r="529"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</row>
    <row r="530"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</row>
    <row r="531"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</row>
    <row r="532"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</row>
    <row r="533"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</row>
    <row r="534"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</row>
    <row r="535"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</row>
    <row r="536"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</row>
    <row r="537"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</row>
    <row r="538"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</row>
    <row r="539"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</row>
    <row r="540"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</row>
    <row r="541"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</row>
    <row r="542"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</row>
    <row r="543"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</row>
    <row r="544"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</row>
    <row r="545"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</row>
    <row r="546"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</row>
    <row r="547"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</row>
    <row r="548"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</row>
    <row r="549"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</row>
    <row r="550"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</row>
    <row r="551"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</row>
    <row r="552"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</row>
    <row r="553"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</row>
    <row r="554"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</row>
    <row r="555"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</row>
    <row r="556"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</row>
    <row r="557"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</row>
    <row r="558"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</row>
    <row r="559"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</row>
    <row r="560"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</row>
    <row r="561"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</row>
    <row r="562"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</row>
    <row r="563"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</row>
    <row r="564"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</row>
    <row r="565"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</row>
    <row r="566"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</row>
    <row r="567"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</row>
    <row r="568"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</row>
    <row r="569"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</row>
    <row r="570"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</row>
    <row r="571"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</row>
    <row r="572"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</row>
    <row r="573"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</row>
    <row r="574"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</row>
    <row r="575"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</row>
    <row r="576"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</row>
    <row r="577"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</row>
    <row r="578"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</row>
    <row r="579"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</row>
    <row r="580"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</row>
    <row r="581"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</row>
    <row r="582"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</row>
    <row r="583"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</row>
    <row r="584"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</row>
    <row r="585"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</row>
    <row r="586"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</row>
    <row r="587"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</row>
    <row r="588"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</row>
    <row r="589"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</row>
    <row r="590"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</row>
    <row r="591"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</row>
    <row r="592"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</row>
    <row r="593"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</row>
    <row r="594"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</row>
    <row r="595"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</row>
    <row r="596"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</row>
    <row r="597"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</row>
    <row r="598"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</row>
    <row r="599"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</row>
    <row r="600"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</row>
    <row r="601"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</row>
    <row r="602"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</row>
    <row r="603"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</row>
    <row r="604"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</row>
    <row r="605"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</row>
    <row r="606"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</row>
    <row r="607"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</row>
    <row r="608"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</row>
    <row r="609"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</row>
    <row r="610"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</row>
    <row r="611"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</row>
    <row r="612"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</row>
    <row r="613"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</row>
    <row r="614"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</row>
    <row r="615"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</row>
    <row r="616"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</row>
    <row r="617"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</row>
    <row r="618"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</row>
    <row r="619"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</row>
    <row r="620"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</row>
    <row r="621"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</row>
    <row r="622"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</row>
    <row r="623"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</row>
    <row r="624"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</row>
    <row r="625"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</row>
    <row r="626"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</row>
    <row r="627"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</row>
    <row r="628"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</row>
    <row r="629"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</row>
    <row r="630"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</row>
    <row r="631"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</row>
    <row r="632"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</row>
    <row r="633"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</row>
    <row r="634"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</row>
    <row r="635"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</row>
    <row r="636"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</row>
    <row r="637"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</row>
    <row r="638"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</row>
    <row r="639"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</row>
    <row r="640"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</row>
    <row r="641"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</row>
    <row r="642"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</row>
    <row r="643"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</row>
    <row r="644"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</row>
    <row r="645"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</row>
    <row r="646"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</row>
    <row r="647"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</row>
    <row r="648"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</row>
    <row r="649"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</row>
    <row r="650"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</row>
    <row r="651"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</row>
    <row r="652"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</row>
    <row r="653"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</row>
    <row r="654"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</row>
    <row r="655"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</row>
    <row r="656"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</row>
    <row r="657"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</row>
    <row r="658"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</row>
    <row r="659"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</row>
    <row r="660"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</row>
    <row r="661"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</row>
    <row r="662"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</row>
    <row r="663"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</row>
    <row r="664"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</row>
    <row r="665"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</row>
    <row r="666"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</row>
    <row r="667"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</row>
    <row r="668"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</row>
    <row r="669"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</row>
    <row r="670"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</row>
    <row r="671"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</row>
    <row r="672"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</row>
    <row r="673"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</row>
    <row r="674"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</row>
    <row r="675"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</row>
    <row r="676"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</row>
    <row r="677"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</row>
    <row r="678"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</row>
    <row r="679"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</row>
    <row r="680"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</row>
    <row r="681"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</row>
    <row r="682"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</row>
    <row r="683"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</row>
    <row r="684"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</row>
    <row r="685"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</row>
    <row r="686"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</row>
    <row r="687"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</row>
    <row r="688"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</row>
    <row r="689"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</row>
    <row r="690"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</row>
    <row r="691"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</row>
    <row r="692"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</row>
    <row r="693"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</row>
    <row r="694"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</row>
    <row r="695"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</row>
    <row r="696"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</row>
    <row r="697"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</row>
    <row r="698"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</row>
    <row r="699"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</row>
    <row r="700"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</row>
    <row r="701"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</row>
    <row r="702"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</row>
    <row r="703"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</row>
    <row r="704"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</row>
    <row r="705"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</row>
    <row r="706"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</row>
    <row r="707"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</row>
    <row r="708"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</row>
    <row r="709"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</row>
    <row r="710"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</row>
    <row r="711"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</row>
    <row r="712"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</row>
    <row r="713"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</row>
    <row r="714"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</row>
    <row r="715"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</row>
    <row r="716"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</row>
    <row r="717"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</row>
    <row r="718"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</row>
    <row r="719"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</row>
    <row r="720"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</row>
    <row r="721"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</row>
    <row r="722"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</row>
    <row r="723"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</row>
    <row r="724"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</row>
    <row r="725"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</row>
    <row r="726"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</row>
    <row r="727"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</row>
    <row r="728"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</row>
    <row r="729"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</row>
    <row r="730"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</row>
    <row r="731"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</row>
    <row r="732"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</row>
    <row r="733"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</row>
    <row r="734"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</row>
    <row r="735"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</row>
    <row r="736"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</row>
    <row r="737"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</row>
    <row r="738"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</row>
    <row r="739"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</row>
    <row r="740"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</row>
    <row r="741"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</row>
    <row r="742"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</row>
    <row r="743"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</row>
    <row r="744"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</row>
    <row r="745"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</row>
    <row r="746"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</row>
    <row r="747"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</row>
    <row r="748"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</row>
    <row r="749"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</row>
    <row r="750"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</row>
    <row r="751"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</row>
    <row r="752"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</row>
    <row r="753"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</row>
    <row r="754"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</row>
    <row r="755"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</row>
    <row r="756"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</row>
    <row r="757"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</row>
    <row r="758"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</row>
    <row r="759"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</row>
    <row r="760"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</row>
    <row r="761"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</row>
    <row r="762"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</row>
    <row r="763"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</row>
    <row r="764"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</row>
    <row r="765"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</row>
    <row r="766"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</row>
    <row r="767"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</row>
    <row r="768"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</row>
    <row r="769"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</row>
    <row r="770"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</row>
    <row r="771"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</row>
    <row r="772"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</row>
    <row r="773"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</row>
    <row r="774"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</row>
    <row r="775"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</row>
    <row r="776"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</row>
    <row r="777"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</row>
    <row r="778"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</row>
    <row r="779"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</row>
    <row r="780"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</row>
    <row r="781"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</row>
    <row r="782"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</row>
    <row r="783"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</row>
    <row r="784"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</row>
    <row r="785"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</row>
    <row r="786"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</row>
    <row r="787"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</row>
    <row r="788"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</row>
    <row r="789"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</row>
    <row r="790"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</row>
    <row r="791"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</row>
    <row r="792"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</row>
    <row r="793"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</row>
    <row r="794"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</row>
    <row r="795"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</row>
    <row r="796"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</row>
    <row r="797"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</row>
    <row r="798"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</row>
    <row r="799"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</row>
    <row r="800"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</row>
    <row r="801"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</row>
    <row r="802"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</row>
    <row r="803"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</row>
    <row r="804"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</row>
    <row r="805"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</row>
    <row r="806"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</row>
    <row r="807"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</row>
    <row r="808"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</row>
    <row r="809"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</row>
    <row r="810"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</row>
    <row r="811"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</row>
    <row r="812"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</row>
    <row r="813"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</row>
    <row r="814"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</row>
    <row r="815"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</row>
    <row r="816"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</row>
    <row r="817"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</row>
    <row r="818"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</row>
    <row r="819"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</row>
    <row r="820"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</row>
    <row r="821"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</row>
    <row r="822"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</row>
    <row r="823"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</row>
    <row r="824"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</row>
    <row r="825"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</row>
    <row r="826"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</row>
    <row r="827"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</row>
    <row r="828"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</row>
    <row r="829"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</row>
    <row r="830"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</row>
    <row r="831"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</row>
    <row r="832"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</row>
    <row r="833"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</row>
    <row r="834"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</row>
    <row r="835"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</row>
    <row r="836"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</row>
    <row r="837"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</row>
    <row r="838"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</row>
    <row r="839"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</row>
    <row r="840"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</row>
    <row r="841"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</row>
    <row r="842"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</row>
    <row r="843"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</row>
    <row r="844"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</row>
    <row r="845"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</row>
    <row r="846"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</row>
    <row r="847"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</row>
    <row r="848"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</row>
    <row r="849"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</row>
    <row r="850"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</row>
    <row r="851"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</row>
    <row r="852"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</row>
    <row r="853"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</row>
    <row r="854"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</row>
    <row r="855"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</row>
    <row r="856"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</row>
    <row r="857"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</row>
    <row r="858"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</row>
    <row r="859"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</row>
    <row r="860"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</row>
    <row r="861"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</row>
    <row r="862"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</row>
    <row r="863"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</row>
    <row r="864"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</row>
    <row r="865"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</row>
    <row r="866"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</row>
    <row r="867"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</row>
    <row r="868"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</row>
    <row r="869"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</row>
    <row r="870"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</row>
    <row r="871"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</row>
    <row r="872"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</row>
    <row r="873"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</row>
    <row r="874"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</row>
    <row r="875"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</row>
    <row r="876"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</row>
    <row r="877"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</row>
    <row r="878"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</row>
    <row r="879"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</row>
    <row r="880"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</row>
    <row r="881"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</row>
    <row r="882"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</row>
    <row r="883"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</row>
    <row r="884"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</row>
    <row r="885"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</row>
    <row r="886"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</row>
    <row r="887"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</row>
    <row r="888"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</row>
    <row r="889"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</row>
    <row r="890"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</row>
    <row r="891"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</row>
    <row r="892"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</row>
    <row r="893"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</row>
    <row r="894"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</row>
    <row r="895"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</row>
    <row r="896"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</row>
    <row r="897"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</row>
    <row r="898"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</row>
    <row r="899"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</row>
    <row r="900"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</row>
    <row r="901"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</row>
    <row r="902"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</row>
    <row r="903"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</row>
    <row r="904"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</row>
    <row r="905"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</row>
    <row r="906"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</row>
    <row r="907"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</row>
    <row r="908"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</row>
    <row r="909"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</row>
    <row r="910"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</row>
    <row r="911"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</row>
    <row r="912"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</row>
    <row r="913"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</row>
    <row r="914"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</row>
    <row r="915"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</row>
    <row r="916"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</row>
    <row r="917"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</row>
    <row r="918"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</row>
    <row r="919"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</row>
    <row r="920"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</row>
    <row r="921"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</row>
    <row r="922"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</row>
    <row r="923"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</row>
    <row r="924"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</row>
    <row r="925"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</row>
    <row r="926"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</row>
    <row r="927"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</row>
    <row r="928"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</row>
    <row r="929"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</row>
    <row r="930"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</row>
    <row r="931"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</row>
    <row r="932"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</row>
    <row r="933"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</row>
    <row r="934"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</row>
    <row r="935"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</row>
    <row r="936"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</row>
    <row r="937"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</row>
    <row r="938"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</row>
    <row r="939"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</row>
    <row r="940"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</row>
    <row r="941"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</row>
    <row r="942"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</row>
    <row r="943"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</row>
    <row r="944"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</row>
    <row r="945"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</row>
    <row r="946"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</row>
    <row r="947"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</row>
    <row r="948"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</row>
    <row r="949"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</row>
    <row r="950"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</row>
    <row r="951"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</row>
    <row r="952"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</row>
    <row r="953"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</row>
    <row r="954"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</row>
    <row r="955"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</row>
    <row r="956"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</row>
    <row r="957"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</row>
    <row r="958"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</row>
    <row r="959"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</row>
    <row r="960"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</row>
    <row r="961"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</row>
    <row r="962"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</row>
    <row r="963"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</row>
    <row r="964"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</row>
    <row r="965"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</row>
    <row r="966"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</row>
    <row r="967"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</row>
    <row r="968"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</row>
    <row r="969"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</row>
    <row r="970"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</row>
    <row r="971"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</row>
  </sheetData>
  <mergeCells count="7">
    <mergeCell ref="A2:K2"/>
    <mergeCell ref="A3:K3"/>
    <mergeCell ref="A42:C42"/>
    <mergeCell ref="B43:C43"/>
    <mergeCell ref="B44:C44"/>
    <mergeCell ref="B45:C45"/>
    <mergeCell ref="B46:C46"/>
  </mergeCells>
  <dataValidations>
    <dataValidation type="list" allowBlank="1" showErrorMessage="1" sqref="B45">
      <formula1>'DB CONECTOR'!$N:$N</formula1>
    </dataValidation>
    <dataValidation type="list" allowBlank="1" sqref="B46">
      <formula1>'DB CONECTOR'!$K$1:$K$2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13"/>
    <col customWidth="1" min="3" max="3" width="17.25"/>
    <col customWidth="1" min="4" max="4" width="18.88"/>
    <col customWidth="1" min="6" max="6" width="9.63"/>
    <col customWidth="1" min="7" max="7" width="12.63"/>
    <col customWidth="1" min="8" max="8" width="15.0"/>
    <col customWidth="1" min="9" max="9" width="8.88"/>
  </cols>
  <sheetData>
    <row r="1">
      <c r="A1" s="9" t="s">
        <v>304</v>
      </c>
      <c r="E1" s="10"/>
    </row>
    <row r="2">
      <c r="A2" s="192" t="s">
        <v>305</v>
      </c>
      <c r="B2" s="193">
        <v>3.0</v>
      </c>
      <c r="C2" s="195">
        <f>'MODELOS DE COSTOS'!B44</f>
        <v>35</v>
      </c>
      <c r="D2" s="24"/>
      <c r="E2" s="196"/>
    </row>
    <row r="3">
      <c r="A3" s="197" t="s">
        <v>306</v>
      </c>
      <c r="B3" s="198" t="s">
        <v>307</v>
      </c>
      <c r="C3" s="198" t="s">
        <v>308</v>
      </c>
      <c r="D3" s="199" t="s">
        <v>309</v>
      </c>
      <c r="E3" s="200"/>
      <c r="F3" s="18" t="str">
        <f>IFERROR(__xludf.DUMMYFUNCTION("FILTER(A3:D21,D3:D21 &gt;0)"),"Ocupación")</f>
        <v>Ocupación</v>
      </c>
      <c r="G3" s="18" t="str">
        <f>IFERROR(__xludf.DUMMYFUNCTION("""COMPUTED_VALUE"""),"Costo / Pax ($)")</f>
        <v>Costo / Pax ($)</v>
      </c>
      <c r="H3" s="18" t="str">
        <f>IFERROR(__xludf.DUMMYFUNCTION("""COMPUTED_VALUE"""),"Margen Bruto ($)")</f>
        <v>Margen Bruto ($)</v>
      </c>
      <c r="I3" s="18" t="str">
        <f>IFERROR(__xludf.DUMMYFUNCTION("""COMPUTED_VALUE"""),"% Margen")</f>
        <v>% Margen</v>
      </c>
    </row>
    <row r="4">
      <c r="A4" s="201">
        <v>1.0</v>
      </c>
      <c r="B4" s="202">
        <f>'MODELOS DE COSTOS'!B18</f>
        <v>88</v>
      </c>
      <c r="C4" s="203">
        <f t="shared" ref="C4:C21" si="1">IF(OR(B4&lt;=0,B4="",$C$2=0.01),0,$C$2-B4)</f>
        <v>-53</v>
      </c>
      <c r="D4" s="204">
        <f t="shared" ref="D4:D21" si="2">IFERROR(C4/$C$2,0)</f>
        <v>-1.514285714</v>
      </c>
      <c r="E4" s="200"/>
      <c r="F4" s="18">
        <f>IFERROR(__xludf.DUMMYFUNCTION("""COMPUTED_VALUE"""),3.0)</f>
        <v>3</v>
      </c>
      <c r="G4" s="205">
        <f>IFERROR(__xludf.DUMMYFUNCTION("""COMPUTED_VALUE"""),34.666666666666664)</f>
        <v>34.66666667</v>
      </c>
      <c r="H4" s="205">
        <f>IFERROR(__xludf.DUMMYFUNCTION("""COMPUTED_VALUE"""),0.3333333333333357)</f>
        <v>0.3333333333</v>
      </c>
      <c r="I4" s="206">
        <f>IFERROR(__xludf.DUMMYFUNCTION("""COMPUTED_VALUE"""),0.009523809523809592)</f>
        <v>0.009523809524</v>
      </c>
    </row>
    <row r="5">
      <c r="A5" s="201">
        <v>2.0</v>
      </c>
      <c r="B5" s="202">
        <f>'MODELOS DE COSTOS'!C18</f>
        <v>48</v>
      </c>
      <c r="C5" s="203">
        <f t="shared" si="1"/>
        <v>-13</v>
      </c>
      <c r="D5" s="204">
        <f t="shared" si="2"/>
        <v>-0.3714285714</v>
      </c>
      <c r="E5" s="200"/>
      <c r="F5" s="18">
        <f>IFERROR(__xludf.DUMMYFUNCTION("""COMPUTED_VALUE"""),4.0)</f>
        <v>4</v>
      </c>
      <c r="G5" s="205">
        <f>IFERROR(__xludf.DUMMYFUNCTION("""COMPUTED_VALUE"""),28.0)</f>
        <v>28</v>
      </c>
      <c r="H5" s="205">
        <f>IFERROR(__xludf.DUMMYFUNCTION("""COMPUTED_VALUE"""),7.0)</f>
        <v>7</v>
      </c>
      <c r="I5" s="206">
        <f>IFERROR(__xludf.DUMMYFUNCTION("""COMPUTED_VALUE"""),0.2)</f>
        <v>0.2</v>
      </c>
    </row>
    <row r="6">
      <c r="A6" s="201">
        <v>3.0</v>
      </c>
      <c r="B6" s="202">
        <f>'MODELOS DE COSTOS'!D18</f>
        <v>34.66666667</v>
      </c>
      <c r="C6" s="203">
        <f t="shared" si="1"/>
        <v>0.3333333333</v>
      </c>
      <c r="D6" s="204">
        <f t="shared" si="2"/>
        <v>0.009523809524</v>
      </c>
      <c r="E6" s="200"/>
      <c r="F6" s="18">
        <f>IFERROR(__xludf.DUMMYFUNCTION("""COMPUTED_VALUE"""),5.0)</f>
        <v>5</v>
      </c>
      <c r="G6" s="205">
        <f>IFERROR(__xludf.DUMMYFUNCTION("""COMPUTED_VALUE"""),34.0)</f>
        <v>34</v>
      </c>
      <c r="H6" s="205">
        <f>IFERROR(__xludf.DUMMYFUNCTION("""COMPUTED_VALUE"""),1.0)</f>
        <v>1</v>
      </c>
      <c r="I6" s="206">
        <f>IFERROR(__xludf.DUMMYFUNCTION("""COMPUTED_VALUE"""),0.02857142857142857)</f>
        <v>0.02857142857</v>
      </c>
    </row>
    <row r="7">
      <c r="A7" s="201">
        <v>4.0</v>
      </c>
      <c r="B7" s="207">
        <f>'MODELOS DE COSTOS'!E18</f>
        <v>28</v>
      </c>
      <c r="C7" s="203">
        <f t="shared" si="1"/>
        <v>7</v>
      </c>
      <c r="D7" s="204">
        <f t="shared" si="2"/>
        <v>0.2</v>
      </c>
      <c r="E7" s="200"/>
      <c r="F7" s="18">
        <f>IFERROR(__xludf.DUMMYFUNCTION("""COMPUTED_VALUE"""),6.0)</f>
        <v>6</v>
      </c>
      <c r="G7" s="205">
        <f>IFERROR(__xludf.DUMMYFUNCTION("""COMPUTED_VALUE"""),29.666666666666668)</f>
        <v>29.66666667</v>
      </c>
      <c r="H7" s="205">
        <f>IFERROR(__xludf.DUMMYFUNCTION("""COMPUTED_VALUE"""),5.333333333333332)</f>
        <v>5.333333333</v>
      </c>
      <c r="I7" s="206">
        <f>IFERROR(__xludf.DUMMYFUNCTION("""COMPUTED_VALUE"""),0.15238095238095234)</f>
        <v>0.1523809524</v>
      </c>
    </row>
    <row r="8">
      <c r="A8" s="201">
        <v>5.0</v>
      </c>
      <c r="B8" s="208">
        <f>'MODELOS DE COSTOS'!F18</f>
        <v>34</v>
      </c>
      <c r="C8" s="203">
        <f t="shared" si="1"/>
        <v>1</v>
      </c>
      <c r="D8" s="204">
        <f t="shared" si="2"/>
        <v>0.02857142857</v>
      </c>
      <c r="E8" s="200"/>
      <c r="F8" s="18">
        <f>IFERROR(__xludf.DUMMYFUNCTION("""COMPUTED_VALUE"""),7.0)</f>
        <v>7</v>
      </c>
      <c r="G8" s="205">
        <f>IFERROR(__xludf.DUMMYFUNCTION("""COMPUTED_VALUE"""),26.571428571428573)</f>
        <v>26.57142857</v>
      </c>
      <c r="H8" s="205">
        <f>IFERROR(__xludf.DUMMYFUNCTION("""COMPUTED_VALUE"""),8.428571428571427)</f>
        <v>8.428571429</v>
      </c>
      <c r="I8" s="206">
        <f>IFERROR(__xludf.DUMMYFUNCTION("""COMPUTED_VALUE"""),0.2408163265306122)</f>
        <v>0.2408163265</v>
      </c>
    </row>
    <row r="9">
      <c r="A9" s="201">
        <v>6.0</v>
      </c>
      <c r="B9" s="209">
        <f>'MODELOS DE COSTOS'!G18</f>
        <v>29.66666667</v>
      </c>
      <c r="C9" s="203">
        <f t="shared" si="1"/>
        <v>5.333333333</v>
      </c>
      <c r="D9" s="204">
        <f t="shared" si="2"/>
        <v>0.1523809524</v>
      </c>
      <c r="E9" s="200"/>
      <c r="F9" s="18">
        <f>IFERROR(__xludf.DUMMYFUNCTION("""COMPUTED_VALUE"""),8.0)</f>
        <v>8</v>
      </c>
      <c r="G9" s="205">
        <f>IFERROR(__xludf.DUMMYFUNCTION("""COMPUTED_VALUE"""),28.0)</f>
        <v>28</v>
      </c>
      <c r="H9" s="205">
        <f>IFERROR(__xludf.DUMMYFUNCTION("""COMPUTED_VALUE"""),7.0)</f>
        <v>7</v>
      </c>
      <c r="I9" s="206">
        <f>IFERROR(__xludf.DUMMYFUNCTION("""COMPUTED_VALUE"""),0.2)</f>
        <v>0.2</v>
      </c>
    </row>
    <row r="10">
      <c r="A10" s="201">
        <v>7.0</v>
      </c>
      <c r="B10" s="210">
        <f>'MODELOS DE COSTOS'!H18</f>
        <v>26.57142857</v>
      </c>
      <c r="C10" s="203">
        <f t="shared" si="1"/>
        <v>8.428571429</v>
      </c>
      <c r="D10" s="204">
        <f t="shared" si="2"/>
        <v>0.2408163265</v>
      </c>
      <c r="E10" s="200"/>
      <c r="F10" s="18">
        <f>IFERROR(__xludf.DUMMYFUNCTION("""COMPUTED_VALUE"""),9.0)</f>
        <v>9</v>
      </c>
      <c r="G10" s="205">
        <f>IFERROR(__xludf.DUMMYFUNCTION("""COMPUTED_VALUE"""),25.77777777777778)</f>
        <v>25.77777778</v>
      </c>
      <c r="H10" s="205">
        <f>IFERROR(__xludf.DUMMYFUNCTION("""COMPUTED_VALUE"""),9.222222222222221)</f>
        <v>9.222222222</v>
      </c>
      <c r="I10" s="206">
        <f>IFERROR(__xludf.DUMMYFUNCTION("""COMPUTED_VALUE"""),0.26349206349206344)</f>
        <v>0.2634920635</v>
      </c>
    </row>
    <row r="11">
      <c r="A11" s="201">
        <v>8.0</v>
      </c>
      <c r="B11" s="211">
        <f>'MODELOS DE COSTOS'!I18</f>
        <v>28</v>
      </c>
      <c r="C11" s="203">
        <f t="shared" si="1"/>
        <v>7</v>
      </c>
      <c r="D11" s="204">
        <f t="shared" si="2"/>
        <v>0.2</v>
      </c>
      <c r="E11" s="212"/>
      <c r="F11" s="18">
        <f>IFERROR(__xludf.DUMMYFUNCTION("""COMPUTED_VALUE"""),10.0)</f>
        <v>10</v>
      </c>
      <c r="G11" s="205">
        <f>IFERROR(__xludf.DUMMYFUNCTION("""COMPUTED_VALUE"""),24.0)</f>
        <v>24</v>
      </c>
      <c r="H11" s="205">
        <f>IFERROR(__xludf.DUMMYFUNCTION("""COMPUTED_VALUE"""),11.0)</f>
        <v>11</v>
      </c>
      <c r="I11" s="206">
        <f>IFERROR(__xludf.DUMMYFUNCTION("""COMPUTED_VALUE"""),0.3142857142857143)</f>
        <v>0.3142857143</v>
      </c>
    </row>
    <row r="12">
      <c r="A12" s="201">
        <v>9.0</v>
      </c>
      <c r="B12" s="211">
        <f>'MODELOS DE COSTOS'!J18</f>
        <v>25.77777778</v>
      </c>
      <c r="C12" s="203">
        <f t="shared" si="1"/>
        <v>9.222222222</v>
      </c>
      <c r="D12" s="204">
        <f t="shared" si="2"/>
        <v>0.2634920635</v>
      </c>
      <c r="E12" s="212"/>
      <c r="F12" s="18">
        <f>IFERROR(__xludf.DUMMYFUNCTION("""COMPUTED_VALUE"""),11.0)</f>
        <v>11</v>
      </c>
      <c r="G12" s="205">
        <f>IFERROR(__xludf.DUMMYFUNCTION("""COMPUTED_VALUE"""),25.272727272727273)</f>
        <v>25.27272727</v>
      </c>
      <c r="H12" s="205">
        <f>IFERROR(__xludf.DUMMYFUNCTION("""COMPUTED_VALUE"""),9.727272727272727)</f>
        <v>9.727272727</v>
      </c>
      <c r="I12" s="206">
        <f>IFERROR(__xludf.DUMMYFUNCTION("""COMPUTED_VALUE"""),0.2779220779220779)</f>
        <v>0.2779220779</v>
      </c>
    </row>
    <row r="13">
      <c r="A13" s="201">
        <v>10.0</v>
      </c>
      <c r="B13" s="211">
        <f>'MODELOS DE COSTOS'!B36</f>
        <v>24</v>
      </c>
      <c r="C13" s="203">
        <f t="shared" si="1"/>
        <v>11</v>
      </c>
      <c r="D13" s="204">
        <f t="shared" si="2"/>
        <v>0.3142857143</v>
      </c>
      <c r="E13" s="212"/>
      <c r="F13" s="18">
        <f>IFERROR(__xludf.DUMMYFUNCTION("""COMPUTED_VALUE"""),12.0)</f>
        <v>12</v>
      </c>
      <c r="G13" s="205">
        <f>IFERROR(__xludf.DUMMYFUNCTION("""COMPUTED_VALUE"""),23.833333333333332)</f>
        <v>23.83333333</v>
      </c>
      <c r="H13" s="205">
        <f>IFERROR(__xludf.DUMMYFUNCTION("""COMPUTED_VALUE"""),11.166666666666668)</f>
        <v>11.16666667</v>
      </c>
      <c r="I13" s="206">
        <f>IFERROR(__xludf.DUMMYFUNCTION("""COMPUTED_VALUE"""),0.3190476190476191)</f>
        <v>0.319047619</v>
      </c>
    </row>
    <row r="14">
      <c r="A14" s="201">
        <v>11.0</v>
      </c>
      <c r="B14" s="211">
        <f>'MODELOS DE COSTOS'!C36</f>
        <v>25.27272727</v>
      </c>
      <c r="C14" s="203">
        <f t="shared" si="1"/>
        <v>9.727272727</v>
      </c>
      <c r="D14" s="204">
        <f t="shared" si="2"/>
        <v>0.2779220779</v>
      </c>
      <c r="E14" s="212"/>
      <c r="F14" s="18">
        <f>IFERROR(__xludf.DUMMYFUNCTION("""COMPUTED_VALUE"""),13.0)</f>
        <v>13</v>
      </c>
      <c r="G14" s="205">
        <f>IFERROR(__xludf.DUMMYFUNCTION("""COMPUTED_VALUE"""),24.923076923076923)</f>
        <v>24.92307692</v>
      </c>
      <c r="H14" s="205">
        <f>IFERROR(__xludf.DUMMYFUNCTION("""COMPUTED_VALUE"""),10.076923076923077)</f>
        <v>10.07692308</v>
      </c>
      <c r="I14" s="206">
        <f>IFERROR(__xludf.DUMMYFUNCTION("""COMPUTED_VALUE"""),0.2879120879120879)</f>
        <v>0.2879120879</v>
      </c>
    </row>
    <row r="15">
      <c r="A15" s="201">
        <v>12.0</v>
      </c>
      <c r="B15" s="211">
        <f>'MODELOS DE COSTOS'!D36</f>
        <v>23.83333333</v>
      </c>
      <c r="C15" s="203">
        <f t="shared" si="1"/>
        <v>11.16666667</v>
      </c>
      <c r="D15" s="204">
        <f t="shared" si="2"/>
        <v>0.319047619</v>
      </c>
      <c r="E15" s="212"/>
      <c r="F15" s="18">
        <f>IFERROR(__xludf.DUMMYFUNCTION("""COMPUTED_VALUE"""),14.0)</f>
        <v>14</v>
      </c>
      <c r="G15" s="205">
        <f>IFERROR(__xludf.DUMMYFUNCTION("""COMPUTED_VALUE"""),31.714285714285715)</f>
        <v>31.71428571</v>
      </c>
      <c r="H15" s="205">
        <f>IFERROR(__xludf.DUMMYFUNCTION("""COMPUTED_VALUE"""),3.2857142857142847)</f>
        <v>3.285714286</v>
      </c>
      <c r="I15" s="206">
        <f>IFERROR(__xludf.DUMMYFUNCTION("""COMPUTED_VALUE"""),0.09387755102040814)</f>
        <v>0.09387755102</v>
      </c>
    </row>
    <row r="16">
      <c r="A16" s="201">
        <v>13.0</v>
      </c>
      <c r="B16" s="211">
        <f>'MODELOS DE COSTOS'!E36</f>
        <v>24.92307692</v>
      </c>
      <c r="C16" s="203">
        <f t="shared" si="1"/>
        <v>10.07692308</v>
      </c>
      <c r="D16" s="204">
        <f t="shared" si="2"/>
        <v>0.2879120879</v>
      </c>
      <c r="E16" s="212"/>
      <c r="F16" s="18">
        <f>IFERROR(__xludf.DUMMYFUNCTION("""COMPUTED_VALUE"""),15.0)</f>
        <v>15</v>
      </c>
      <c r="G16" s="205">
        <f>IFERROR(__xludf.DUMMYFUNCTION("""COMPUTED_VALUE"""),22.666666666666668)</f>
        <v>22.66666667</v>
      </c>
      <c r="H16" s="205">
        <f>IFERROR(__xludf.DUMMYFUNCTION("""COMPUTED_VALUE"""),12.333333333333332)</f>
        <v>12.33333333</v>
      </c>
      <c r="I16" s="206">
        <f>IFERROR(__xludf.DUMMYFUNCTION("""COMPUTED_VALUE"""),0.35238095238095235)</f>
        <v>0.3523809524</v>
      </c>
    </row>
    <row r="17">
      <c r="A17" s="201">
        <v>14.0</v>
      </c>
      <c r="B17" s="211">
        <f>'MODELOS DE COSTOS'!F36</f>
        <v>31.71428571</v>
      </c>
      <c r="C17" s="203">
        <f t="shared" si="1"/>
        <v>3.285714286</v>
      </c>
      <c r="D17" s="204">
        <f t="shared" si="2"/>
        <v>0.09387755102</v>
      </c>
      <c r="E17" s="213"/>
      <c r="F17" s="18">
        <f>IFERROR(__xludf.DUMMYFUNCTION("""COMPUTED_VALUE"""),16.0)</f>
        <v>16</v>
      </c>
      <c r="G17" s="205">
        <f>IFERROR(__xludf.DUMMYFUNCTION("""COMPUTED_VALUE"""),21.75)</f>
        <v>21.75</v>
      </c>
      <c r="H17" s="205">
        <f>IFERROR(__xludf.DUMMYFUNCTION("""COMPUTED_VALUE"""),13.25)</f>
        <v>13.25</v>
      </c>
      <c r="I17" s="206">
        <f>IFERROR(__xludf.DUMMYFUNCTION("""COMPUTED_VALUE"""),0.37857142857142856)</f>
        <v>0.3785714286</v>
      </c>
    </row>
    <row r="18">
      <c r="A18" s="201">
        <v>15.0</v>
      </c>
      <c r="B18" s="211">
        <f>'MODELOS DE COSTOS'!G36</f>
        <v>22.66666667</v>
      </c>
      <c r="C18" s="203">
        <f t="shared" si="1"/>
        <v>12.33333333</v>
      </c>
      <c r="D18" s="204">
        <f t="shared" si="2"/>
        <v>0.3523809524</v>
      </c>
      <c r="E18" s="213"/>
      <c r="F18" s="18">
        <f>IFERROR(__xludf.DUMMYFUNCTION("""COMPUTED_VALUE"""),24.0)</f>
        <v>24</v>
      </c>
      <c r="G18" s="205">
        <f>IFERROR(__xludf.DUMMYFUNCTION("""COMPUTED_VALUE"""),11.333333333333334)</f>
        <v>11.33333333</v>
      </c>
      <c r="H18" s="205">
        <f>IFERROR(__xludf.DUMMYFUNCTION("""COMPUTED_VALUE"""),23.666666666666664)</f>
        <v>23.66666667</v>
      </c>
      <c r="I18" s="206">
        <f>IFERROR(__xludf.DUMMYFUNCTION("""COMPUTED_VALUE"""),0.6761904761904761)</f>
        <v>0.6761904762</v>
      </c>
    </row>
    <row r="19">
      <c r="A19" s="214">
        <v>16.0</v>
      </c>
      <c r="B19" s="211">
        <f>'MODELOS DE COSTOS'!H36</f>
        <v>21.75</v>
      </c>
      <c r="C19" s="203">
        <f t="shared" si="1"/>
        <v>13.25</v>
      </c>
      <c r="D19" s="204">
        <f t="shared" si="2"/>
        <v>0.3785714286</v>
      </c>
      <c r="E19" s="213"/>
      <c r="F19" s="18">
        <f>IFERROR(__xludf.DUMMYFUNCTION("""COMPUTED_VALUE"""),44.0)</f>
        <v>44</v>
      </c>
      <c r="G19" s="205">
        <f>IFERROR(__xludf.DUMMYFUNCTION("""COMPUTED_VALUE"""),9.818181818181818)</f>
        <v>9.818181818</v>
      </c>
      <c r="H19" s="205">
        <f>IFERROR(__xludf.DUMMYFUNCTION("""COMPUTED_VALUE"""),25.18181818181818)</f>
        <v>25.18181818</v>
      </c>
      <c r="I19" s="206">
        <f>IFERROR(__xludf.DUMMYFUNCTION("""COMPUTED_VALUE"""),0.7194805194805194)</f>
        <v>0.7194805195</v>
      </c>
    </row>
    <row r="20">
      <c r="A20" s="214">
        <v>24.0</v>
      </c>
      <c r="B20" s="211">
        <f>'MODELOS DE COSTOS'!I36</f>
        <v>11.33333333</v>
      </c>
      <c r="C20" s="203">
        <f t="shared" si="1"/>
        <v>23.66666667</v>
      </c>
      <c r="D20" s="204">
        <f t="shared" si="2"/>
        <v>0.6761904762</v>
      </c>
      <c r="E20" s="213"/>
    </row>
    <row r="21">
      <c r="A21" s="214">
        <v>44.0</v>
      </c>
      <c r="B21" s="211">
        <f>'MODELOS DE COSTOS'!J36</f>
        <v>9.818181818</v>
      </c>
      <c r="C21" s="203">
        <f t="shared" si="1"/>
        <v>25.18181818</v>
      </c>
      <c r="D21" s="204">
        <f t="shared" si="2"/>
        <v>0.7194805195</v>
      </c>
      <c r="E21" s="213"/>
    </row>
    <row r="22">
      <c r="A22" s="215" t="s">
        <v>310</v>
      </c>
      <c r="B22" s="217" t="str">
        <f t="array" ref="B22">IFERROR(CONCATENATE("RENTA: ", INDEX($A$4:$A$21, MATCH(TRUE, $B$4:$B$21 &lt; $C$2, 0)), " PAX", CHAR(10), "COSTO: ", INDEX($B$4:$B$21, MATCH(TRUE, $B$4:$B$21 &lt; $C$2, 0))), "NO ENCONTRADO")</f>
        <v>RENTA: 3 PAX
COSTO: 34,6666666666667</v>
      </c>
      <c r="C22" s="218" t="str">
        <f>IFERROR(__xludf.DUMMYFUNCTION("IFERROR(CONCATENATE(
  ""MIN: "", TEXT(MIN(FILTER($C$4:$C$21, $C$4:$C$21 &gt; 0)), ""$#,##0.00""), CHAR(10),
  ""MEDIA: "", TEXT(MEDIAN(FILTER($C$4:$C$21, $C$4:$C$21 &gt; 0)), ""$#,##0.00""), CHAR(10),
  ""MODA: "", IFERROR(TEXT(MODE(FILTER($C$4:$C$21, $C$4:$C$"&amp;"21 &gt; 0)), ""$#,##0.00""), ""N/D""), CHAR(10),
  ""PROD: "", TEXT(AVERAGE(FILTER($C$4:$C$21, $C$4:$C$21 &gt; 0)), ""$#,##0.00""), CHAR(10),
  ""MAX: "", TEXT(MAX(FILTER($C$4:$C$21, $C$4:$C$21 &gt; 0)), ""$#,##0.00"")
), 0)"),"MIN: $0,33
MEDIA: $9,47
MODA: $7,00
PROD: $9,88
MAX: $25,18")</f>
        <v>MIN: $0,33
MEDIA: $9,47
MODA: $7,00
PROD: $9,88
MAX: $25,18</v>
      </c>
      <c r="D22" s="218" t="str">
        <f>IFERROR(__xludf.DUMMYFUNCTION("IFERROR(CONCATENATE(
  ""MIN: "", TEXT(MIN(FILTER($D$4:$D$21, $D$4:$D$21 &gt; 0)), ""0.0%""), CHAR(10),
  ""MEDIA: "", TEXT(MEDIAN(FILTER($D$4:$D$21, $D$4:$D$21 &gt; 0)), ""0.0%""), CHAR(10),
  ""MODA: "", IFERROR(TEXT(MODE(FILTER($D$4:$D$21, $D$4:$D$21 &gt; 0)), "&amp;"""0.0%""), ""N/D""), CHAR(10),
  ""PROD: "", TEXT(AVERAGE(FILTER($D$4:$D$21, $D$4:$D$21 &gt; 0)), ""0.0%""), CHAR(10),
  ""MAX: "", TEXT(MAX(FILTER($D$4:$D$21, $D$4:$D$21 &gt; 0)), ""0.0%"")
), 0)"),"MIN: 1,0%
MEDIA: 27,1%
MODA: 20,0%
PROD: 28,2%
MAX: 71,9%")</f>
        <v>MIN: 1,0%
MEDIA: 27,1%
MODA: 20,0%
PROD: 28,2%
MAX: 71,9%</v>
      </c>
      <c r="E22" s="219"/>
    </row>
    <row r="25">
      <c r="A25" s="220" t="s">
        <v>311</v>
      </c>
      <c r="B25" s="115"/>
      <c r="C25" s="115"/>
      <c r="D25" s="116"/>
    </row>
    <row r="26">
      <c r="A26" s="221"/>
      <c r="B26" s="222"/>
      <c r="C26" s="222"/>
      <c r="D26" s="222"/>
    </row>
    <row r="27" ht="22.5" customHeight="1">
      <c r="A27" s="224" t="s">
        <v>312</v>
      </c>
      <c r="B27" s="225" t="s">
        <v>313</v>
      </c>
      <c r="C27" s="225" t="s">
        <v>315</v>
      </c>
      <c r="D27" s="225" t="s">
        <v>316</v>
      </c>
    </row>
    <row r="28" ht="22.5" customHeight="1">
      <c r="A28" s="226" t="s">
        <v>317</v>
      </c>
      <c r="B28" s="228">
        <f t="shared" ref="B28:B36" si="3">$C$2</f>
        <v>35</v>
      </c>
      <c r="C28" s="229">
        <v>0.0</v>
      </c>
      <c r="D28" s="230">
        <f t="shared" ref="D28:D36" si="4">B28*(1 + C28)</f>
        <v>35</v>
      </c>
    </row>
    <row r="29" ht="22.5" customHeight="1">
      <c r="A29" s="226" t="s">
        <v>318</v>
      </c>
      <c r="B29" s="228">
        <f t="shared" si="3"/>
        <v>35</v>
      </c>
      <c r="C29" s="229">
        <v>-0.05</v>
      </c>
      <c r="D29" s="230">
        <f t="shared" si="4"/>
        <v>33.25</v>
      </c>
    </row>
    <row r="30" ht="22.5" customHeight="1">
      <c r="A30" s="226" t="s">
        <v>319</v>
      </c>
      <c r="B30" s="228">
        <f t="shared" si="3"/>
        <v>35</v>
      </c>
      <c r="C30" s="229">
        <v>-0.15</v>
      </c>
      <c r="D30" s="230">
        <f t="shared" si="4"/>
        <v>29.75</v>
      </c>
    </row>
    <row r="31" ht="22.5" customHeight="1">
      <c r="A31" s="233" t="s">
        <v>320</v>
      </c>
      <c r="B31" s="228">
        <f t="shared" si="3"/>
        <v>35</v>
      </c>
      <c r="C31" s="229">
        <v>-0.2</v>
      </c>
      <c r="D31" s="230">
        <f t="shared" si="4"/>
        <v>28</v>
      </c>
    </row>
    <row r="32" ht="22.5" customHeight="1">
      <c r="A32" s="233" t="s">
        <v>321</v>
      </c>
      <c r="B32" s="228">
        <f t="shared" si="3"/>
        <v>35</v>
      </c>
      <c r="C32" s="229">
        <v>-0.22</v>
      </c>
      <c r="D32" s="230">
        <f t="shared" si="4"/>
        <v>27.3</v>
      </c>
    </row>
    <row r="33" ht="22.5" customHeight="1">
      <c r="A33" s="226" t="s">
        <v>323</v>
      </c>
      <c r="B33" s="228">
        <f t="shared" si="3"/>
        <v>35</v>
      </c>
      <c r="C33" s="229">
        <v>-0.25</v>
      </c>
      <c r="D33" s="230">
        <f t="shared" si="4"/>
        <v>26.25</v>
      </c>
    </row>
    <row r="34" ht="22.5" customHeight="1">
      <c r="A34" s="226" t="s">
        <v>326</v>
      </c>
      <c r="B34" s="228">
        <f t="shared" si="3"/>
        <v>35</v>
      </c>
      <c r="C34" s="229">
        <v>-0.1</v>
      </c>
      <c r="D34" s="230">
        <f t="shared" si="4"/>
        <v>31.5</v>
      </c>
    </row>
    <row r="35" ht="22.5" customHeight="1">
      <c r="A35" s="233" t="s">
        <v>329</v>
      </c>
      <c r="B35" s="228">
        <f t="shared" si="3"/>
        <v>35</v>
      </c>
      <c r="C35" s="229">
        <v>0.6</v>
      </c>
      <c r="D35" s="230">
        <f t="shared" si="4"/>
        <v>56</v>
      </c>
    </row>
    <row r="36" ht="22.5" customHeight="1">
      <c r="A36" s="226" t="s">
        <v>331</v>
      </c>
      <c r="B36" s="228">
        <f t="shared" si="3"/>
        <v>35</v>
      </c>
      <c r="C36" s="229" t="s">
        <v>332</v>
      </c>
      <c r="D36" s="230">
        <f t="shared" si="4"/>
        <v>32.375</v>
      </c>
    </row>
    <row r="37">
      <c r="A37" s="245" t="s">
        <v>333</v>
      </c>
      <c r="B37" s="246"/>
      <c r="C37" s="247"/>
      <c r="D37" s="248">
        <f>AVERAGE(D28:D36)</f>
        <v>33.26944444</v>
      </c>
    </row>
  </sheetData>
  <mergeCells count="3">
    <mergeCell ref="A1:D1"/>
    <mergeCell ref="C2:D2"/>
    <mergeCell ref="A25:D25"/>
  </mergeCells>
  <conditionalFormatting sqref="A4:D21">
    <cfRule type="expression" dxfId="6" priority="1">
      <formula>$B$2=A4</formula>
    </cfRule>
  </conditionalFormatting>
  <conditionalFormatting sqref="B4:B21">
    <cfRule type="colorScale" priority="2">
      <colorScale>
        <cfvo type="min"/>
        <cfvo type="percentile" val="50"/>
        <cfvo type="max"/>
        <color rgb="FF00FF00"/>
        <color rgb="FFF9CB9C"/>
        <color rgb="FFEA9999"/>
      </colorScale>
    </cfRule>
  </conditionalFormatting>
  <conditionalFormatting sqref="C4:C21">
    <cfRule type="colorScale" priority="3">
      <colorScale>
        <cfvo type="formula" val="0"/>
        <cfvo type="formula" val="0"/>
        <color rgb="FFFF0000"/>
        <color rgb="FFFFFFFF"/>
      </colorScale>
    </cfRule>
  </conditionalFormatting>
  <conditionalFormatting sqref="D4:D21">
    <cfRule type="colorScale" priority="4">
      <colorScale>
        <cfvo type="formula" val="0"/>
        <cfvo type="formula" val="0"/>
        <color rgb="FFFFFFFF"/>
        <color rgb="FF57BB8A"/>
      </colorScale>
    </cfRule>
  </conditionalFormatting>
  <conditionalFormatting sqref="D28:D36">
    <cfRule type="expression" dxfId="6" priority="5">
      <formula>D28&gt;$B$22</formula>
    </cfRule>
  </conditionalFormatting>
  <dataValidations>
    <dataValidation type="list" allowBlank="1" showErrorMessage="1" sqref="B2">
      <formula1>'VIABILIDAD FINANCIERA'!$A$4:$A$21</formula1>
    </dataValidation>
    <dataValidation type="custom" allowBlank="1" showDropDown="1" sqref="B28:D35">
      <formula1>AND(ISNUMBER(B28),(NOT(OR(NOT(ISERROR(DATEVALUE(B28))), AND(ISNUMBER(B28), LEFT(CELL("format", B28))="D")))))</formula1>
    </dataValidation>
  </dataValidations>
  <drawing r:id="rId1"/>
  <tableParts count="1">
    <tablePart r:id="rId3"/>
  </tableParts>
</worksheet>
</file>